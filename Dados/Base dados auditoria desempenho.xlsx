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updateLinks="never" codeName="ThisWorkbook" defaultThemeVersion="123820"/>
  <mc:AlternateContent xmlns:mc="http://schemas.openxmlformats.org/markup-compatibility/2006">
    <mc:Choice Requires="x15">
      <x15ac:absPath xmlns:x15ac="http://schemas.microsoft.com/office/spreadsheetml/2010/11/ac" url="C:\Users\gomes\O meu disco (gomes.pja@gmail.com)\Paulo\Militar\Academia Militar\Docência\2023.24\2º semestre\A133 Auditoria SP\TAG\Base dados TAG\"/>
    </mc:Choice>
  </mc:AlternateContent>
  <xr:revisionPtr revIDLastSave="0" documentId="13_ncr:1_{41735D16-AEEC-4BF4-9621-F476906C1A96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BExRepositorySheet" sheetId="4" state="veryHidden" r:id="rId1"/>
    <sheet name="Mapa" sheetId="1" r:id="rId2"/>
    <sheet name="Outros" sheetId="5" r:id="rId3"/>
  </sheets>
  <externalReferences>
    <externalReference r:id="rId4"/>
    <externalReference r:id="rId5"/>
    <externalReference r:id="rId6"/>
  </externalReferences>
  <definedNames>
    <definedName name="_xlnm._FilterDatabase" localSheetId="1" hidden="1">Mapa!$D$9:$V$74</definedName>
    <definedName name="DF_GRID_1">Mapa!$D$9:$K$73</definedName>
    <definedName name="DF_GRID_2">Despesa - Dot [1]Disponível!$F$13:$L$14</definedName>
    <definedName name="DF_GRID_3">Receita - Dot [2]Corrigida!$F$13:$L$14</definedName>
    <definedName name="DF_GRID_4">Despesa - Dot [1]Disponível!$F$21:$L$22</definedName>
    <definedName name="_xlnm.Print_Area" localSheetId="1">Mapa!$C$1:$U$73</definedName>
    <definedName name="SAPBEXhrIndnt" hidden="1">"Wide"</definedName>
    <definedName name="SAPsysID" hidden="1">"708C5W7SBKP804JT78WJ0JNKI"</definedName>
    <definedName name="SAPwbID" hidden="1">"ARS"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5" l="1"/>
  <c r="D7" i="5"/>
  <c r="D3" i="5"/>
  <c r="D9" i="5"/>
  <c r="D5" i="5"/>
  <c r="K74" i="1"/>
  <c r="B3" i="5" s="1"/>
  <c r="D6" i="5" s="1"/>
  <c r="L58" i="1"/>
  <c r="L59" i="1"/>
  <c r="L60" i="1"/>
  <c r="L61" i="1"/>
  <c r="L64" i="1"/>
  <c r="L65" i="1"/>
  <c r="L66" i="1"/>
  <c r="L67" i="1"/>
  <c r="L68" i="1"/>
  <c r="L69" i="1"/>
  <c r="L70" i="1"/>
  <c r="L71" i="1"/>
  <c r="D8" i="5" s="1"/>
  <c r="L72" i="1"/>
  <c r="L73" i="1"/>
  <c r="L57" i="1"/>
  <c r="L74" i="1" l="1"/>
  <c r="B7" i="5" s="1"/>
  <c r="D10" i="5" s="1"/>
</calcChain>
</file>

<file path=xl/sharedStrings.xml><?xml version="1.0" encoding="utf-8"?>
<sst xmlns="http://schemas.openxmlformats.org/spreadsheetml/2006/main" count="482" uniqueCount="130">
  <si>
    <t>FV</t>
  </si>
  <si>
    <t>Última atualização</t>
  </si>
  <si>
    <t>Acção</t>
  </si>
  <si>
    <t/>
  </si>
  <si>
    <t>Actividade PA</t>
  </si>
  <si>
    <t>Económica Despesa Legal</t>
  </si>
  <si>
    <t>Elemento de Acção</t>
  </si>
  <si>
    <t>Objectivo</t>
  </si>
  <si>
    <t>5.1.1.1.6 - Plan. dos OBJ, ACT, ACC e EAC</t>
  </si>
  <si>
    <t>21-04-2017</t>
  </si>
  <si>
    <t>Resultado global</t>
  </si>
  <si>
    <t>Dotação</t>
  </si>
  <si>
    <t>02.01.05</t>
  </si>
  <si>
    <t>Alimentação-Refeições confeccionadas</t>
  </si>
  <si>
    <t>02.01.06</t>
  </si>
  <si>
    <t>Alimentação-Géneros pª confeccionar</t>
  </si>
  <si>
    <t>02.01.08.C0.00</t>
  </si>
  <si>
    <t>Material de Escritório - Outros</t>
  </si>
  <si>
    <t>02.01.15</t>
  </si>
  <si>
    <t>Prémios, condecorações e ofertas</t>
  </si>
  <si>
    <t>02.01.19</t>
  </si>
  <si>
    <t>Artigos honoríficos e de decoração</t>
  </si>
  <si>
    <t>02.01.21</t>
  </si>
  <si>
    <t>Outros bens</t>
  </si>
  <si>
    <t>02.02.17</t>
  </si>
  <si>
    <t>Publicidade</t>
  </si>
  <si>
    <t>02.02.21</t>
  </si>
  <si>
    <t>Utilização de infra-estruturas de transportes</t>
  </si>
  <si>
    <t>02.02.25</t>
  </si>
  <si>
    <t>Outros serviços</t>
  </si>
  <si>
    <t>02.02.13</t>
  </si>
  <si>
    <t>Deslocações e estadas</t>
  </si>
  <si>
    <t>02.02.15.B0.00</t>
  </si>
  <si>
    <t>Formação - Outras</t>
  </si>
  <si>
    <t>02.02.10</t>
  </si>
  <si>
    <t>Transportes</t>
  </si>
  <si>
    <t>02.02.20.E0.00</t>
  </si>
  <si>
    <t>Outros Trabalhos Especializados - Outros</t>
  </si>
  <si>
    <t>02.01.18</t>
  </si>
  <si>
    <t>Livros e documentação técnica</t>
  </si>
  <si>
    <t>07.01.10.A0.B0</t>
  </si>
  <si>
    <t>Eq Básico-Admin Central-Estado-Outros</t>
  </si>
  <si>
    <t>02.02.03</t>
  </si>
  <si>
    <t>Conservação de bens</t>
  </si>
  <si>
    <t>02.01.02</t>
  </si>
  <si>
    <t>Combustíveis e lubrificantes</t>
  </si>
  <si>
    <t>02.01.04</t>
  </si>
  <si>
    <t>Limpeza e higiene</t>
  </si>
  <si>
    <t>02.01.08.A0.00</t>
  </si>
  <si>
    <t>02.01.17</t>
  </si>
  <si>
    <t>Ferramentas e utensílios</t>
  </si>
  <si>
    <t>02.02.01.B0.00</t>
  </si>
  <si>
    <t>Encargos das Instalações</t>
  </si>
  <si>
    <t>02.02.02</t>
  </si>
  <si>
    <t>Limpeza e higiene.</t>
  </si>
  <si>
    <t>02.02.09.B0.00</t>
  </si>
  <si>
    <t>Comunicações fixas de dados</t>
  </si>
  <si>
    <t>02.02.12.B0.00</t>
  </si>
  <si>
    <t>Seguros-Outras</t>
  </si>
  <si>
    <t>02.02.19.C0.00</t>
  </si>
  <si>
    <t>Assistência técnica - Outros</t>
  </si>
  <si>
    <t>01.02.04</t>
  </si>
  <si>
    <t>Ajudas de custo</t>
  </si>
  <si>
    <t>00 21 Aumentar particip sociedade atividades Exército</t>
  </si>
  <si>
    <t>00 22 Ampliar quant tipologia ativid Ex destinadas cidadãos</t>
  </si>
  <si>
    <t>00 31 Aumentar as forças e o pessoal treinado e certificado</t>
  </si>
  <si>
    <t>00 51 Aumentar qualidade reconhecimento oferta educativa Ex</t>
  </si>
  <si>
    <t>00 61 Melhorar patrim hist, cult, intel, científ conhec e am</t>
  </si>
  <si>
    <t>00 63 Asseg o controlo, a segurança, a qualidade e a igualda</t>
  </si>
  <si>
    <t>00 83 Melhorar obtenção e a gestão recursos mat e infraestru</t>
  </si>
  <si>
    <t>00 93 Reforçar a IDI como catalizador de um Exército moderno</t>
  </si>
  <si>
    <t>Reforçar a afirmação e a ligação da AM à sociedade</t>
  </si>
  <si>
    <t>Integrar a formação científica, militar e comportamental</t>
  </si>
  <si>
    <t>Elevar a qualidade do Ensino</t>
  </si>
  <si>
    <t>Reforçar a qualificação e explorar sinergias no âmbito do IU</t>
  </si>
  <si>
    <t>Valorizar e reforçar a investigação e a internacionalização</t>
  </si>
  <si>
    <t>Garantir adequada preservação e divulgação do património</t>
  </si>
  <si>
    <t>Garantir a administração e execução dos serviços de base</t>
  </si>
  <si>
    <t>Cerimónias Militares e Actividades Culturais do CAl</t>
  </si>
  <si>
    <t>Cursos para não docentes do CAl</t>
  </si>
  <si>
    <t>Cursos para docentes do CAl</t>
  </si>
  <si>
    <t>Formação Militar e Exercícios</t>
  </si>
  <si>
    <t>Equipamento de apoio ao ensino</t>
  </si>
  <si>
    <t>Biblioteca</t>
  </si>
  <si>
    <t>Formação de docentes e discentes</t>
  </si>
  <si>
    <t>Publicidade e divulgação da AM</t>
  </si>
  <si>
    <t>Encargos de Vida Corrente e Funcionamento Normal</t>
  </si>
  <si>
    <t>Conservação instalações</t>
  </si>
  <si>
    <t>Projeto de Investigação financiado OMDN</t>
  </si>
  <si>
    <t>Aquisição de livros e revistas</t>
  </si>
  <si>
    <t>Ações de formação e cursos de qualificação</t>
  </si>
  <si>
    <t>Revista PROELIUM</t>
  </si>
  <si>
    <t>Casa da Guarda de Policia (CCTV)</t>
  </si>
  <si>
    <t>Reabilitação e manutenção de edifícios</t>
  </si>
  <si>
    <t>IDIMIL_MZ - I&amp;D Militar em Moçambique</t>
  </si>
  <si>
    <t>Recursos utilizados 2022</t>
  </si>
  <si>
    <t>Of</t>
  </si>
  <si>
    <t>Sarg</t>
  </si>
  <si>
    <t>Pr</t>
  </si>
  <si>
    <t>Civis</t>
  </si>
  <si>
    <t>Baile de Cal</t>
  </si>
  <si>
    <t>Livro de Curso</t>
  </si>
  <si>
    <t>Alun</t>
  </si>
  <si>
    <t>Formação em Liderança</t>
  </si>
  <si>
    <t>BFM2</t>
  </si>
  <si>
    <t>BFM3</t>
  </si>
  <si>
    <t>Baile de finalistas</t>
  </si>
  <si>
    <t>Segurança das instalações</t>
  </si>
  <si>
    <t>1 83 Melhorar obtenção e a gestão recursos mat e infraestru</t>
  </si>
  <si>
    <t>Equipamentos de apoio à coordenação escolar</t>
  </si>
  <si>
    <t>Material de Escritório</t>
  </si>
  <si>
    <t>Recursos utilizados 2023</t>
  </si>
  <si>
    <t>Ano</t>
  </si>
  <si>
    <t>Orçamento total</t>
  </si>
  <si>
    <t>Atividades</t>
  </si>
  <si>
    <t>Orçamento parcial</t>
  </si>
  <si>
    <t>Outputs</t>
  </si>
  <si>
    <t>Formação</t>
  </si>
  <si>
    <t>Investigação</t>
  </si>
  <si>
    <t>Ensino</t>
  </si>
  <si>
    <t>Vida Corrente</t>
  </si>
  <si>
    <t>140 alunos</t>
  </si>
  <si>
    <t>Ação de formação em Liderança à CGD (5 dias)</t>
  </si>
  <si>
    <t>Ação de formação em Liderança à ANJE (5 dias)</t>
  </si>
  <si>
    <t>10 cerimónias</t>
  </si>
  <si>
    <t>11 cerimónias</t>
  </si>
  <si>
    <t>Tipo de Atividade</t>
  </si>
  <si>
    <t>110 alunos</t>
  </si>
  <si>
    <t>Inquérito Grau satisfação (1 - Mau a 5 - Muito bom)</t>
  </si>
  <si>
    <t>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</si>
</sst>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EUR&quot;"/>
    <numFmt numFmtId="165" formatCode="#,##0\ &quot;€&quot;"/>
  </numFmts>
  <fonts count="30" x14ac:knownFonts="1">
    <font>
      <sz val="8"/>
      <name val="Arial"/>
    </font>
    <font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37"/>
      <name val="Calibri"/>
      <family val="2"/>
    </font>
    <font>
      <b/>
      <sz val="11"/>
      <color indexed="17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17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</font>
    <font>
      <sz val="8"/>
      <color indexed="62"/>
      <name val="Arial"/>
      <family val="2"/>
    </font>
    <font>
      <sz val="8"/>
      <color theme="0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indexed="48"/>
        <bgColor indexed="48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25"/>
        <bgColor indexed="25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7"/>
        <b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18"/>
        <bgColor indexed="18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53"/>
        <b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35"/>
        <bgColor indexed="3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45"/>
      </patternFill>
    </fill>
    <fill>
      <patternFill patternType="solid">
        <fgColor indexed="12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23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theme="6" tint="-0.499984740745262"/>
        <bgColor indexed="64"/>
      </patternFill>
    </fill>
    <fill>
      <gradientFill degree="90">
        <stop position="0">
          <color rgb="FF3EB95E"/>
        </stop>
        <stop position="1">
          <color rgb="FF618745"/>
        </stop>
      </gradientFill>
    </fill>
    <fill>
      <patternFill patternType="solid">
        <fgColor rgb="FFE6F1DE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E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3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indexed="1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40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18"/>
      </left>
      <right/>
      <top style="thin">
        <color indexed="18"/>
      </top>
      <bottom style="thin">
        <color indexed="18"/>
      </bottom>
      <diagonal/>
    </border>
    <border>
      <left/>
      <right/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9">
    <xf numFmtId="0" fontId="0" fillId="0" borderId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1" fillId="7" borderId="0" applyNumberFormat="0" applyBorder="0" applyAlignment="0" applyProtection="0"/>
    <xf numFmtId="0" fontId="11" fillId="15" borderId="0" applyNumberFormat="0" applyBorder="0" applyAlignment="0" applyProtection="0"/>
    <xf numFmtId="0" fontId="10" fillId="8" borderId="0" applyNumberFormat="0" applyBorder="0" applyAlignment="0" applyProtection="0"/>
    <xf numFmtId="0" fontId="10" fillId="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0" fillId="5" borderId="0" applyNumberFormat="0" applyBorder="0" applyAlignment="0" applyProtection="0"/>
    <xf numFmtId="0" fontId="10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0" fillId="21" borderId="0" applyNumberFormat="0" applyBorder="0" applyAlignment="0" applyProtection="0"/>
    <xf numFmtId="0" fontId="12" fillId="19" borderId="0" applyNumberFormat="0" applyBorder="0" applyAlignment="0" applyProtection="0"/>
    <xf numFmtId="0" fontId="13" fillId="22" borderId="1" applyNumberFormat="0" applyAlignment="0" applyProtection="0"/>
    <xf numFmtId="0" fontId="14" fillId="14" borderId="2" applyNumberFormat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6" fillId="12" borderId="0" applyNumberFormat="0" applyBorder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20" fillId="20" borderId="1" applyNumberFormat="0" applyAlignment="0" applyProtection="0"/>
    <xf numFmtId="0" fontId="21" fillId="0" borderId="6" applyNumberFormat="0" applyFill="0" applyAlignment="0" applyProtection="0"/>
    <xf numFmtId="0" fontId="22" fillId="20" borderId="0" applyNumberFormat="0" applyBorder="0" applyAlignment="0" applyProtection="0"/>
    <xf numFmtId="0" fontId="1" fillId="19" borderId="1" applyNumberFormat="0" applyFont="0" applyAlignment="0" applyProtection="0"/>
    <xf numFmtId="0" fontId="23" fillId="22" borderId="7" applyNumberFormat="0" applyAlignment="0" applyProtection="0"/>
    <xf numFmtId="4" fontId="1" fillId="54" borderId="1" applyNumberFormat="0" applyProtection="0">
      <alignment vertical="center"/>
    </xf>
    <xf numFmtId="4" fontId="26" fillId="27" borderId="1" applyNumberFormat="0" applyProtection="0">
      <alignment vertical="center"/>
    </xf>
    <xf numFmtId="4" fontId="1" fillId="54" borderId="1" applyNumberFormat="0" applyProtection="0">
      <alignment horizontal="left" vertical="center" indent="1"/>
    </xf>
    <xf numFmtId="0" fontId="7" fillId="26" borderId="8" applyNumberFormat="0" applyProtection="0">
      <alignment horizontal="left" vertical="top" indent="1"/>
    </xf>
    <xf numFmtId="4" fontId="1" fillId="52" borderId="1" applyNumberFormat="0" applyProtection="0">
      <alignment horizontal="left" vertical="center" indent="1"/>
    </xf>
    <xf numFmtId="4" fontId="3" fillId="28" borderId="1" applyNumberFormat="0" applyProtection="0">
      <alignment horizontal="right" vertical="center"/>
    </xf>
    <xf numFmtId="4" fontId="3" fillId="29" borderId="1" applyNumberFormat="0" applyProtection="0">
      <alignment horizontal="right" vertical="center"/>
    </xf>
    <xf numFmtId="4" fontId="3" fillId="30" borderId="9" applyNumberFormat="0" applyProtection="0">
      <alignment horizontal="right" vertical="center"/>
    </xf>
    <xf numFmtId="4" fontId="3" fillId="31" borderId="1" applyNumberFormat="0" applyProtection="0">
      <alignment horizontal="right" vertical="center"/>
    </xf>
    <xf numFmtId="4" fontId="3" fillId="32" borderId="1" applyNumberFormat="0" applyProtection="0">
      <alignment horizontal="right" vertical="center"/>
    </xf>
    <xf numFmtId="4" fontId="3" fillId="33" borderId="1" applyNumberFormat="0" applyProtection="0">
      <alignment horizontal="right" vertical="center"/>
    </xf>
    <xf numFmtId="4" fontId="3" fillId="34" borderId="1" applyNumberFormat="0" applyProtection="0">
      <alignment horizontal="right" vertical="center"/>
    </xf>
    <xf numFmtId="4" fontId="3" fillId="35" borderId="1" applyNumberFormat="0" applyProtection="0">
      <alignment horizontal="right" vertical="center"/>
    </xf>
    <xf numFmtId="4" fontId="3" fillId="36" borderId="1" applyNumberFormat="0" applyProtection="0">
      <alignment horizontal="right" vertical="center"/>
    </xf>
    <xf numFmtId="4" fontId="3" fillId="37" borderId="9" applyNumberFormat="0" applyProtection="0">
      <alignment horizontal="left" vertical="center" indent="1"/>
    </xf>
    <xf numFmtId="4" fontId="6" fillId="38" borderId="9" applyNumberFormat="0" applyProtection="0">
      <alignment horizontal="left" vertical="center" indent="1"/>
    </xf>
    <xf numFmtId="4" fontId="6" fillId="38" borderId="9" applyNumberFormat="0" applyProtection="0">
      <alignment horizontal="left" vertical="center" indent="1"/>
    </xf>
    <xf numFmtId="4" fontId="3" fillId="39" borderId="1" applyNumberFormat="0" applyProtection="0">
      <alignment horizontal="right" vertical="center"/>
    </xf>
    <xf numFmtId="4" fontId="3" fillId="40" borderId="9" applyNumberFormat="0" applyProtection="0">
      <alignment horizontal="left" vertical="center" indent="1"/>
    </xf>
    <xf numFmtId="4" fontId="3" fillId="39" borderId="9" applyNumberFormat="0" applyProtection="0">
      <alignment horizontal="left" vertical="center" indent="1"/>
    </xf>
    <xf numFmtId="0" fontId="3" fillId="41" borderId="1" applyNumberFormat="0" applyProtection="0">
      <alignment horizontal="left" vertical="center" indent="1"/>
    </xf>
    <xf numFmtId="0" fontId="1" fillId="38" borderId="8" applyNumberFormat="0" applyProtection="0">
      <alignment horizontal="left" vertical="top" indent="1"/>
    </xf>
    <xf numFmtId="0" fontId="3" fillId="42" borderId="1" applyNumberFormat="0" applyProtection="0">
      <alignment horizontal="left" vertical="center" indent="1"/>
    </xf>
    <xf numFmtId="0" fontId="1" fillId="39" borderId="8" applyNumberFormat="0" applyProtection="0">
      <alignment horizontal="left" vertical="top" indent="1"/>
    </xf>
    <xf numFmtId="0" fontId="3" fillId="50" borderId="1" applyNumberFormat="0" applyProtection="0">
      <alignment horizontal="left" vertical="center" indent="1"/>
    </xf>
    <xf numFmtId="0" fontId="1" fillId="43" borderId="8" applyNumberFormat="0" applyProtection="0">
      <alignment horizontal="left" vertical="top" indent="1"/>
    </xf>
    <xf numFmtId="0" fontId="3" fillId="40" borderId="1" applyNumberFormat="0" applyProtection="0">
      <alignment horizontal="left" vertical="center" indent="1"/>
    </xf>
    <xf numFmtId="0" fontId="1" fillId="40" borderId="8" applyNumberFormat="0" applyProtection="0">
      <alignment horizontal="left" vertical="top" indent="1"/>
    </xf>
    <xf numFmtId="0" fontId="1" fillId="44" borderId="10" applyNumberFormat="0">
      <protection locked="0"/>
    </xf>
    <xf numFmtId="0" fontId="4" fillId="38" borderId="11" applyBorder="0"/>
    <xf numFmtId="4" fontId="5" fillId="45" borderId="8" applyNumberFormat="0" applyProtection="0">
      <alignment vertical="center"/>
    </xf>
    <xf numFmtId="4" fontId="26" fillId="46" borderId="12" applyNumberFormat="0" applyProtection="0">
      <alignment vertical="center"/>
    </xf>
    <xf numFmtId="4" fontId="5" fillId="41" borderId="8" applyNumberFormat="0" applyProtection="0">
      <alignment horizontal="left" vertical="center" indent="1"/>
    </xf>
    <xf numFmtId="0" fontId="5" fillId="45" borderId="8" applyNumberFormat="0" applyProtection="0">
      <alignment horizontal="left" vertical="top" indent="1"/>
    </xf>
    <xf numFmtId="4" fontId="3" fillId="0" borderId="1" applyNumberFormat="0" applyProtection="0">
      <alignment horizontal="right" vertical="center"/>
    </xf>
    <xf numFmtId="4" fontId="26" fillId="47" borderId="1" applyNumberFormat="0" applyProtection="0">
      <alignment horizontal="right" vertical="center"/>
    </xf>
    <xf numFmtId="4" fontId="1" fillId="53" borderId="1" applyNumberFormat="0" applyProtection="0">
      <alignment horizontal="left" vertical="center" indent="1"/>
    </xf>
    <xf numFmtId="0" fontId="5" fillId="39" borderId="8" applyNumberFormat="0" applyProtection="0">
      <alignment horizontal="left" vertical="top" indent="1"/>
    </xf>
    <xf numFmtId="4" fontId="8" fillId="48" borderId="9" applyNumberFormat="0" applyProtection="0">
      <alignment horizontal="left" vertical="center" indent="1"/>
    </xf>
    <xf numFmtId="0" fontId="3" fillId="49" borderId="12"/>
    <xf numFmtId="4" fontId="9" fillId="44" borderId="1" applyNumberFormat="0" applyProtection="0">
      <alignment horizontal="right" vertical="center"/>
    </xf>
    <xf numFmtId="0" fontId="24" fillId="0" borderId="0" applyNumberFormat="0" applyFill="0" applyBorder="0" applyAlignment="0" applyProtection="0"/>
    <xf numFmtId="0" fontId="15" fillId="0" borderId="13" applyNumberFormat="0" applyFill="0" applyAlignment="0" applyProtection="0"/>
    <xf numFmtId="0" fontId="25" fillId="0" borderId="0" applyNumberFormat="0" applyFill="0" applyBorder="0" applyAlignment="0" applyProtection="0"/>
    <xf numFmtId="0" fontId="28" fillId="47" borderId="16"/>
    <xf numFmtId="14" fontId="28" fillId="47" borderId="17"/>
    <xf numFmtId="22" fontId="28" fillId="47" borderId="18"/>
    <xf numFmtId="4" fontId="1" fillId="52" borderId="0" applyProtection="0">
      <alignment horizontal="left" vertical="center" indent="1"/>
    </xf>
  </cellStyleXfs>
  <cellXfs count="68">
    <xf numFmtId="0" fontId="0" fillId="0" borderId="0" xfId="0"/>
    <xf numFmtId="0" fontId="0" fillId="51" borderId="0" xfId="0" applyFill="1"/>
    <xf numFmtId="0" fontId="0" fillId="0" borderId="15" xfId="0" applyBorder="1"/>
    <xf numFmtId="0" fontId="0" fillId="0" borderId="15" xfId="0" quotePrefix="1" applyBorder="1"/>
    <xf numFmtId="0" fontId="27" fillId="0" borderId="14" xfId="0" quotePrefix="1" applyFont="1" applyBorder="1"/>
    <xf numFmtId="14" fontId="28" fillId="47" borderId="17" xfId="86" quotePrefix="1"/>
    <xf numFmtId="14" fontId="28" fillId="47" borderId="17" xfId="86"/>
    <xf numFmtId="0" fontId="0" fillId="47" borderId="20" xfId="0" applyFill="1" applyBorder="1"/>
    <xf numFmtId="0" fontId="0" fillId="47" borderId="19" xfId="0" applyFill="1" applyBorder="1"/>
    <xf numFmtId="0" fontId="0" fillId="47" borderId="21" xfId="0" applyFill="1" applyBorder="1"/>
    <xf numFmtId="4" fontId="2" fillId="52" borderId="22" xfId="88" quotePrefix="1" applyFont="1" applyBorder="1">
      <alignment horizontal="left" vertical="center" indent="1"/>
    </xf>
    <xf numFmtId="4" fontId="1" fillId="52" borderId="22" xfId="88" quotePrefix="1" applyBorder="1">
      <alignment horizontal="left" vertical="center" indent="1"/>
    </xf>
    <xf numFmtId="0" fontId="27" fillId="0" borderId="0" xfId="0" applyFont="1"/>
    <xf numFmtId="0" fontId="1" fillId="52" borderId="1" xfId="45" quotePrefix="1" applyNumberFormat="1">
      <alignment horizontal="left" vertical="center" indent="1"/>
    </xf>
    <xf numFmtId="0" fontId="1" fillId="53" borderId="1" xfId="77" quotePrefix="1" applyNumberFormat="1">
      <alignment horizontal="left" vertical="center" indent="1"/>
    </xf>
    <xf numFmtId="0" fontId="1" fillId="55" borderId="1" xfId="77" quotePrefix="1" applyNumberFormat="1" applyFill="1">
      <alignment horizontal="left" vertical="center" indent="1"/>
    </xf>
    <xf numFmtId="0" fontId="1" fillId="52" borderId="23" xfId="45" quotePrefix="1" applyNumberFormat="1" applyBorder="1">
      <alignment horizontal="left" vertical="center" indent="1"/>
    </xf>
    <xf numFmtId="0" fontId="1" fillId="55" borderId="23" xfId="77" quotePrefix="1" applyNumberFormat="1" applyFill="1" applyBorder="1">
      <alignment horizontal="left" vertical="center" indent="1"/>
    </xf>
    <xf numFmtId="0" fontId="1" fillId="53" borderId="23" xfId="77" quotePrefix="1" applyNumberFormat="1" applyBorder="1">
      <alignment horizontal="left" vertical="center" indent="1"/>
    </xf>
    <xf numFmtId="0" fontId="1" fillId="56" borderId="23" xfId="77" quotePrefix="1" applyNumberFormat="1" applyFill="1" applyBorder="1">
      <alignment horizontal="left" vertical="center" indent="1"/>
    </xf>
    <xf numFmtId="0" fontId="1" fillId="54" borderId="25" xfId="43" quotePrefix="1" applyNumberFormat="1" applyBorder="1">
      <alignment horizontal="left" vertical="center" indent="1"/>
    </xf>
    <xf numFmtId="0" fontId="1" fillId="54" borderId="12" xfId="43" quotePrefix="1" applyNumberFormat="1" applyBorder="1">
      <alignment horizontal="left" vertical="center" indent="1"/>
    </xf>
    <xf numFmtId="0" fontId="0" fillId="0" borderId="12" xfId="0" applyBorder="1" applyAlignment="1">
      <alignment horizontal="center"/>
    </xf>
    <xf numFmtId="164" fontId="1" fillId="54" borderId="12" xfId="41" applyNumberFormat="1" applyBorder="1">
      <alignment vertical="center"/>
    </xf>
    <xf numFmtId="0" fontId="0" fillId="0" borderId="12" xfId="0" applyBorder="1"/>
    <xf numFmtId="0" fontId="29" fillId="0" borderId="0" xfId="0" applyFont="1"/>
    <xf numFmtId="164" fontId="0" fillId="0" borderId="0" xfId="0" applyNumberFormat="1"/>
    <xf numFmtId="0" fontId="29" fillId="0" borderId="12" xfId="0" applyFont="1" applyBorder="1" applyAlignment="1">
      <alignment horizontal="center"/>
    </xf>
    <xf numFmtId="4" fontId="2" fillId="52" borderId="27" xfId="88" quotePrefix="1" applyFont="1" applyBorder="1">
      <alignment horizontal="left" vertical="center" indent="1"/>
    </xf>
    <xf numFmtId="0" fontId="6" fillId="0" borderId="12" xfId="0" applyFont="1" applyBorder="1"/>
    <xf numFmtId="165" fontId="6" fillId="0" borderId="12" xfId="0" applyNumberFormat="1" applyFont="1" applyBorder="1"/>
    <xf numFmtId="0" fontId="2" fillId="57" borderId="12" xfId="0" applyFont="1" applyFill="1" applyBorder="1" applyAlignment="1">
      <alignment horizontal="center" wrapText="1"/>
    </xf>
    <xf numFmtId="0" fontId="2" fillId="57" borderId="12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0" borderId="30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9" xfId="0" applyBorder="1" applyAlignment="1">
      <alignment horizontal="center" vertical="center"/>
    </xf>
    <xf numFmtId="0" fontId="1" fillId="54" borderId="12" xfId="43" quotePrefix="1" applyNumberFormat="1" applyBorder="1" applyAlignment="1">
      <alignment horizontal="center" vertical="center"/>
    </xf>
    <xf numFmtId="0" fontId="1" fillId="52" borderId="23" xfId="45" quotePrefix="1" applyNumberFormat="1" applyBorder="1" applyAlignment="1">
      <alignment horizontal="center" vertical="center"/>
    </xf>
    <xf numFmtId="0" fontId="1" fillId="52" borderId="24" xfId="45" quotePrefix="1" applyNumberForma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2" fillId="0" borderId="2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65" fontId="29" fillId="0" borderId="29" xfId="0" applyNumberFormat="1" applyFont="1" applyBorder="1" applyAlignment="1">
      <alignment horizontal="center" vertical="center"/>
    </xf>
    <xf numFmtId="165" fontId="29" fillId="0" borderId="20" xfId="0" applyNumberFormat="1" applyFont="1" applyBorder="1" applyAlignment="1">
      <alignment horizontal="center" vertical="center"/>
    </xf>
    <xf numFmtId="165" fontId="29" fillId="0" borderId="19" xfId="0" applyNumberFormat="1" applyFont="1" applyBorder="1" applyAlignment="1">
      <alignment horizontal="center" vertical="center"/>
    </xf>
    <xf numFmtId="0" fontId="2" fillId="57" borderId="12" xfId="0" applyFont="1" applyFill="1" applyBorder="1" applyAlignment="1">
      <alignment horizontal="center" vertical="center"/>
    </xf>
  </cellXfs>
  <cellStyles count="89">
    <cellStyle name="Accent1" xfId="1" builtinId="29" customBuiltin="1"/>
    <cellStyle name="Accent1 - 20%" xfId="2" xr:uid="{00000000-0005-0000-0000-000000000000}"/>
    <cellStyle name="Accent1 - 40%" xfId="3" xr:uid="{00000000-0005-0000-0000-000001000000}"/>
    <cellStyle name="Accent1 - 60%" xfId="4" xr:uid="{00000000-0005-0000-0000-000002000000}"/>
    <cellStyle name="Accent2" xfId="5" builtinId="33" customBuiltin="1"/>
    <cellStyle name="Accent2 - 20%" xfId="6" xr:uid="{00000000-0005-0000-0000-000003000000}"/>
    <cellStyle name="Accent2 - 40%" xfId="7" xr:uid="{00000000-0005-0000-0000-000004000000}"/>
    <cellStyle name="Accent2 - 60%" xfId="8" xr:uid="{00000000-0005-0000-0000-000005000000}"/>
    <cellStyle name="Accent3" xfId="9" builtinId="37" customBuiltin="1"/>
    <cellStyle name="Accent3 - 20%" xfId="10" xr:uid="{00000000-0005-0000-0000-000006000000}"/>
    <cellStyle name="Accent3 - 40%" xfId="11" xr:uid="{00000000-0005-0000-0000-000007000000}"/>
    <cellStyle name="Accent3 - 60%" xfId="12" xr:uid="{00000000-0005-0000-0000-000008000000}"/>
    <cellStyle name="Accent4" xfId="13" builtinId="41" customBuiltin="1"/>
    <cellStyle name="Accent4 - 20%" xfId="14" xr:uid="{00000000-0005-0000-0000-000009000000}"/>
    <cellStyle name="Accent4 - 40%" xfId="15" xr:uid="{00000000-0005-0000-0000-00000A000000}"/>
    <cellStyle name="Accent4 - 60%" xfId="16" xr:uid="{00000000-0005-0000-0000-00000B000000}"/>
    <cellStyle name="Accent5" xfId="17" builtinId="45" customBuiltin="1"/>
    <cellStyle name="Accent5 - 20%" xfId="18" xr:uid="{00000000-0005-0000-0000-00000C000000}"/>
    <cellStyle name="Accent5 - 40%" xfId="19" xr:uid="{00000000-0005-0000-0000-00000D000000}"/>
    <cellStyle name="Accent5 - 60%" xfId="20" xr:uid="{00000000-0005-0000-0000-00000E000000}"/>
    <cellStyle name="Accent6" xfId="21" builtinId="49" customBuiltin="1"/>
    <cellStyle name="Accent6 - 20%" xfId="22" xr:uid="{00000000-0005-0000-0000-00000F000000}"/>
    <cellStyle name="Accent6 - 40%" xfId="23" xr:uid="{00000000-0005-0000-0000-000010000000}"/>
    <cellStyle name="Accent6 - 60%" xfId="24" xr:uid="{00000000-0005-0000-0000-000011000000}"/>
    <cellStyle name="Bad" xfId="25" builtinId="27" customBuiltin="1"/>
    <cellStyle name="Calculation" xfId="26" builtinId="22" customBuiltin="1"/>
    <cellStyle name="Check Cell" xfId="27" builtinId="23" customBuiltin="1"/>
    <cellStyle name="Emphasis 1" xfId="28" xr:uid="{00000000-0005-0000-0000-00001F000000}"/>
    <cellStyle name="Emphasis 2" xfId="29" xr:uid="{00000000-0005-0000-0000-000020000000}"/>
    <cellStyle name="Emphasis 3" xfId="30" xr:uid="{00000000-0005-0000-0000-000021000000}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formation Header" xfId="88" xr:uid="{00000000-0005-0000-0000-000024000000}"/>
    <cellStyle name="Information Style" xfId="85" xr:uid="{00000000-0005-0000-0000-000025000000}"/>
    <cellStyle name="Information Style2" xfId="86" xr:uid="{00000000-0005-0000-0000-000026000000}"/>
    <cellStyle name="Information Style3" xfId="87" xr:uid="{00000000-0005-0000-0000-000027000000}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 customBuiltin="1"/>
    <cellStyle name="Note" xfId="39" builtinId="10" customBuiltin="1"/>
    <cellStyle name="Output" xfId="40" builtinId="21" customBuiltin="1"/>
    <cellStyle name="SAPBEXaggData" xfId="41" xr:uid="{00000000-0005-0000-0000-00002C000000}"/>
    <cellStyle name="SAPBEXaggDataEmph" xfId="42" xr:uid="{00000000-0005-0000-0000-00002D000000}"/>
    <cellStyle name="SAPBEXaggItem" xfId="43" xr:uid="{00000000-0005-0000-0000-00002E000000}"/>
    <cellStyle name="SAPBEXaggItemX" xfId="44" xr:uid="{00000000-0005-0000-0000-00002F000000}"/>
    <cellStyle name="SAPBEXchaText" xfId="45" xr:uid="{00000000-0005-0000-0000-000030000000}"/>
    <cellStyle name="SAPBEXexcBad7" xfId="46" xr:uid="{00000000-0005-0000-0000-000031000000}"/>
    <cellStyle name="SAPBEXexcBad8" xfId="47" xr:uid="{00000000-0005-0000-0000-000032000000}"/>
    <cellStyle name="SAPBEXexcBad9" xfId="48" xr:uid="{00000000-0005-0000-0000-000033000000}"/>
    <cellStyle name="SAPBEXexcCritical4" xfId="49" xr:uid="{00000000-0005-0000-0000-000034000000}"/>
    <cellStyle name="SAPBEXexcCritical5" xfId="50" xr:uid="{00000000-0005-0000-0000-000035000000}"/>
    <cellStyle name="SAPBEXexcCritical6" xfId="51" xr:uid="{00000000-0005-0000-0000-000036000000}"/>
    <cellStyle name="SAPBEXexcGood1" xfId="52" xr:uid="{00000000-0005-0000-0000-000037000000}"/>
    <cellStyle name="SAPBEXexcGood2" xfId="53" xr:uid="{00000000-0005-0000-0000-000038000000}"/>
    <cellStyle name="SAPBEXexcGood3" xfId="54" xr:uid="{00000000-0005-0000-0000-000039000000}"/>
    <cellStyle name="SAPBEXfilterDrill" xfId="55" xr:uid="{00000000-0005-0000-0000-00003A000000}"/>
    <cellStyle name="SAPBEXfilterItem" xfId="56" xr:uid="{00000000-0005-0000-0000-00003B000000}"/>
    <cellStyle name="SAPBEXfilterText" xfId="57" xr:uid="{00000000-0005-0000-0000-00003C000000}"/>
    <cellStyle name="SAPBEXformats" xfId="58" xr:uid="{00000000-0005-0000-0000-00003D000000}"/>
    <cellStyle name="SAPBEXheaderItem" xfId="59" xr:uid="{00000000-0005-0000-0000-00003E000000}"/>
    <cellStyle name="SAPBEXheaderText" xfId="60" xr:uid="{00000000-0005-0000-0000-00003F000000}"/>
    <cellStyle name="SAPBEXHLevel0" xfId="61" xr:uid="{00000000-0005-0000-0000-000040000000}"/>
    <cellStyle name="SAPBEXHLevel0X" xfId="62" xr:uid="{00000000-0005-0000-0000-000041000000}"/>
    <cellStyle name="SAPBEXHLevel1" xfId="63" xr:uid="{00000000-0005-0000-0000-000042000000}"/>
    <cellStyle name="SAPBEXHLevel1X" xfId="64" xr:uid="{00000000-0005-0000-0000-000043000000}"/>
    <cellStyle name="SAPBEXHLevel2" xfId="65" xr:uid="{00000000-0005-0000-0000-000044000000}"/>
    <cellStyle name="SAPBEXHLevel2X" xfId="66" xr:uid="{00000000-0005-0000-0000-000045000000}"/>
    <cellStyle name="SAPBEXHLevel3" xfId="67" xr:uid="{00000000-0005-0000-0000-000046000000}"/>
    <cellStyle name="SAPBEXHLevel3X" xfId="68" xr:uid="{00000000-0005-0000-0000-000047000000}"/>
    <cellStyle name="SAPBEXinputData" xfId="69" xr:uid="{00000000-0005-0000-0000-000048000000}"/>
    <cellStyle name="SAPBEXItemHeader" xfId="70" xr:uid="{00000000-0005-0000-0000-000049000000}"/>
    <cellStyle name="SAPBEXresData" xfId="71" xr:uid="{00000000-0005-0000-0000-00004A000000}"/>
    <cellStyle name="SAPBEXresDataEmph" xfId="72" xr:uid="{00000000-0005-0000-0000-00004B000000}"/>
    <cellStyle name="SAPBEXresItem" xfId="73" xr:uid="{00000000-0005-0000-0000-00004C000000}"/>
    <cellStyle name="SAPBEXresItemX" xfId="74" xr:uid="{00000000-0005-0000-0000-00004D000000}"/>
    <cellStyle name="SAPBEXstdData" xfId="75" xr:uid="{00000000-0005-0000-0000-00004E000000}"/>
    <cellStyle name="SAPBEXstdDataEmph" xfId="76" xr:uid="{00000000-0005-0000-0000-00004F000000}"/>
    <cellStyle name="SAPBEXstdItem" xfId="77" xr:uid="{00000000-0005-0000-0000-000050000000}"/>
    <cellStyle name="SAPBEXstdItemX" xfId="78" xr:uid="{00000000-0005-0000-0000-000051000000}"/>
    <cellStyle name="SAPBEXtitle" xfId="79" xr:uid="{00000000-0005-0000-0000-000052000000}"/>
    <cellStyle name="SAPBEXunassignedItem" xfId="80" xr:uid="{00000000-0005-0000-0000-000053000000}"/>
    <cellStyle name="SAPBEXundefined" xfId="81" xr:uid="{00000000-0005-0000-0000-000054000000}"/>
    <cellStyle name="Sheet Title" xfId="82" xr:uid="{00000000-0005-0000-0000-000055000000}"/>
    <cellStyle name="Total" xfId="83" builtinId="25" customBuiltin="1"/>
    <cellStyle name="Warning Text" xfId="84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6758"/>
      <rgbColor rgb="00C6F9C1"/>
      <rgbColor rgb="00FF8073"/>
      <rgbColor rgb="00FF3838"/>
      <rgbColor rgb="00FF1818"/>
      <rgbColor rgb="00CDDEE9"/>
      <rgbColor rgb="00FF9D25"/>
      <rgbColor rgb="00F58700"/>
      <rgbColor rgb="00848484"/>
      <rgbColor rgb="003C9654"/>
      <rgbColor rgb="00000000"/>
      <rgbColor rgb="00008080"/>
      <rgbColor rgb="00B7CFE8"/>
      <rgbColor rgb="00C3D6EB"/>
      <rgbColor rgb="009190D6"/>
      <rgbColor rgb="00993366"/>
      <rgbColor rgb="00FFFFCC"/>
      <rgbColor rgb="00CCFFFF"/>
      <rgbColor rgb="00660066"/>
      <rgbColor rgb="00FF8073"/>
      <rgbColor rgb="000066CC"/>
      <rgbColor rgb="00E0E5E8"/>
      <rgbColor rgb="00000080"/>
      <rgbColor rgb="00FF00FF"/>
      <rgbColor rgb="00FFFF00"/>
      <rgbColor rgb="00F2F2F2"/>
      <rgbColor rgb="00800080"/>
      <rgbColor rgb="00800000"/>
      <rgbColor rgb="00008080"/>
      <rgbColor rgb="000000FF"/>
      <rgbColor rgb="00C6C4C4"/>
      <rgbColor rgb="00D5E3F2"/>
      <rgbColor rgb="00CCFFCC"/>
      <rgbColor rgb="00FFFDC1"/>
      <rgbColor rgb="00D5E3F2"/>
      <rgbColor rgb="00FF988C"/>
      <rgbColor rgb="00C6C9CC"/>
      <rgbColor rgb="00FFCC99"/>
      <rgbColor rgb="004D6776"/>
      <rgbColor rgb="00EFF6FB"/>
      <rgbColor rgb="00ABEDA5"/>
      <rgbColor rgb="00FECC8E"/>
      <rgbColor rgb="00FDBB71"/>
      <rgbColor rgb="00FBA643"/>
      <rgbColor rgb="00B6D9E6"/>
      <rgbColor rgb="00BFC9D5"/>
      <rgbColor rgb="00003366"/>
      <rgbColor rgb="0094D88F"/>
      <rgbColor rgb="008DB0DB"/>
      <rgbColor rgb="00333300"/>
      <rgbColor rgb="00EAF1F6"/>
      <rgbColor rgb="00DBE5EC"/>
      <rgbColor rgb="00333399"/>
      <rgbColor rgb="00333333"/>
    </indexedColors>
    <mruColors>
      <color rgb="FF848484"/>
      <color rgb="FFE6F1DE"/>
      <color rgb="FFFFFEDD"/>
      <color rgb="FFFFFECD"/>
      <color rgb="FFFFFEC1"/>
      <color rgb="FF75C947"/>
      <color rgb="FF7DC188"/>
      <color rgb="FF65C957"/>
      <color rgb="FF2EB056"/>
      <color rgb="FF508F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gi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9</xdr:row>
      <xdr:rowOff>9525</xdr:rowOff>
    </xdr:from>
    <xdr:ext cx="47625" cy="47625"/>
    <xdr:pic macro="[3]!DesignIconClicked">
      <xdr:nvPicPr>
        <xdr:cNvPr id="2064" name="BExMO7VFCN4EL59982UR4AJ25JNJ" descr="XX6TINEJADZGKR0CTM7ZRT0RA" hidden="1">
          <a:extLst>
            <a:ext uri="{FF2B5EF4-FFF2-40B4-BE49-F238E27FC236}">
              <a16:creationId xmlns:a16="http://schemas.microsoft.com/office/drawing/2014/main" id="{00000000-0008-0000-0100-00001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95700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3</xdr:col>
      <xdr:colOff>0</xdr:colOff>
      <xdr:row>9</xdr:row>
      <xdr:rowOff>85725</xdr:rowOff>
    </xdr:from>
    <xdr:ext cx="47625" cy="47625"/>
    <xdr:pic macro="[3]!DesignIconClicked">
      <xdr:nvPicPr>
        <xdr:cNvPr id="2065" name="BExU3EX5JJCXCII4YKUJBFBGIJR2" descr="OF5ZI9PI5WH36VPANJ2DYLNMI" hidden="1">
          <a:extLst>
            <a:ext uri="{FF2B5EF4-FFF2-40B4-BE49-F238E27FC236}">
              <a16:creationId xmlns:a16="http://schemas.microsoft.com/office/drawing/2014/main" id="{00000000-0008-0000-0100-00001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695700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3</xdr:col>
      <xdr:colOff>19050</xdr:colOff>
      <xdr:row>9</xdr:row>
      <xdr:rowOff>9525</xdr:rowOff>
    </xdr:from>
    <xdr:ext cx="47625" cy="47625"/>
    <xdr:pic macro="[3]!DesignIconClicked">
      <xdr:nvPicPr>
        <xdr:cNvPr id="2066" name="BEx1KD7H6UB1VYCJ7O61P562EIUY" descr="IQGV9140X0K0UPBL8OGU3I44J" hidden="1">
          <a:extLst>
            <a:ext uri="{FF2B5EF4-FFF2-40B4-BE49-F238E27FC236}">
              <a16:creationId xmlns:a16="http://schemas.microsoft.com/office/drawing/2014/main" id="{00000000-0008-0000-0100-00001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43425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3</xdr:col>
      <xdr:colOff>19050</xdr:colOff>
      <xdr:row>9</xdr:row>
      <xdr:rowOff>85725</xdr:rowOff>
    </xdr:from>
    <xdr:ext cx="47625" cy="47625"/>
    <xdr:pic macro="[3]!DesignIconClicked">
      <xdr:nvPicPr>
        <xdr:cNvPr id="2067" name="BEx5BJQWS6YWHH4ZMSUAMD641V6Y" descr="ZTMFMXCIQSECDX38ALEFHUB00" hidden="1">
          <a:extLst>
            <a:ext uri="{FF2B5EF4-FFF2-40B4-BE49-F238E27FC236}">
              <a16:creationId xmlns:a16="http://schemas.microsoft.com/office/drawing/2014/main" id="{00000000-0008-0000-0100-00001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9</xdr:row>
      <xdr:rowOff>9525</xdr:rowOff>
    </xdr:from>
    <xdr:ext cx="47625" cy="47625"/>
    <xdr:pic macro="[3]!DesignIconClicked">
      <xdr:nvPicPr>
        <xdr:cNvPr id="2068" name="BExVTO5Q8G2M7BPL4B2584LQS0R0" descr="OB6Q8NA4LZFE4GM9Y3V56BPMQ" hidden="1">
          <a:extLst>
            <a:ext uri="{FF2B5EF4-FFF2-40B4-BE49-F238E27FC236}">
              <a16:creationId xmlns:a16="http://schemas.microsoft.com/office/drawing/2014/main" id="{00000000-0008-0000-0100-00001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391150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5</xdr:col>
      <xdr:colOff>0</xdr:colOff>
      <xdr:row>9</xdr:row>
      <xdr:rowOff>85725</xdr:rowOff>
    </xdr:from>
    <xdr:ext cx="47625" cy="47625"/>
    <xdr:pic macro="[3]!DesignIconClicked">
      <xdr:nvPicPr>
        <xdr:cNvPr id="2069" name="BExIFSCLN1G86X78PFLTSMRP0US5" descr="9JK4SPV4DG7VTCZIILWHXQU5J" hidden="1">
          <a:extLst>
            <a:ext uri="{FF2B5EF4-FFF2-40B4-BE49-F238E27FC236}">
              <a16:creationId xmlns:a16="http://schemas.microsoft.com/office/drawing/2014/main" id="{00000000-0008-0000-0100-00001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391150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3</xdr:col>
      <xdr:colOff>0</xdr:colOff>
      <xdr:row>9</xdr:row>
      <xdr:rowOff>9525</xdr:rowOff>
    </xdr:from>
    <xdr:ext cx="47625" cy="47625"/>
    <xdr:pic macro="[3]!DesignIconClicked">
      <xdr:nvPicPr>
        <xdr:cNvPr id="2072" name="BEx1I152WN2D3A85O2XN0DGXCWHN" descr="KHBZFMANRA4UMJR1AB4M5NJNT" hidden="1">
          <a:extLst>
            <a:ext uri="{FF2B5EF4-FFF2-40B4-BE49-F238E27FC236}">
              <a16:creationId xmlns:a16="http://schemas.microsoft.com/office/drawing/2014/main" id="{00000000-0008-0000-0100-00001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95700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3</xdr:col>
      <xdr:colOff>0</xdr:colOff>
      <xdr:row>9</xdr:row>
      <xdr:rowOff>85725</xdr:rowOff>
    </xdr:from>
    <xdr:ext cx="47625" cy="47625"/>
    <xdr:pic macro="[3]!DesignIconClicked">
      <xdr:nvPicPr>
        <xdr:cNvPr id="2073" name="BExW9676P0SKCVKK25QCGHPA3PAD" descr="9A4PWZ20RMSRF0PNECCDM75CA" hidden="1">
          <a:extLst>
            <a:ext uri="{FF2B5EF4-FFF2-40B4-BE49-F238E27FC236}">
              <a16:creationId xmlns:a16="http://schemas.microsoft.com/office/drawing/2014/main" id="{00000000-0008-0000-0100-00001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695700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3</xdr:col>
      <xdr:colOff>0</xdr:colOff>
      <xdr:row>10</xdr:row>
      <xdr:rowOff>0</xdr:rowOff>
    </xdr:from>
    <xdr:ext cx="123825" cy="123825"/>
    <xdr:pic macro="[3]!DesignIconClicked">
      <xdr:nvPicPr>
        <xdr:cNvPr id="2074" name="BExW253QPOZK9KW8BJC3LBXGCG2N" descr="Y5HX37BEUWSN1NEFJKZJXI3SX" hidden="1">
          <a:extLst>
            <a:ext uri="{FF2B5EF4-FFF2-40B4-BE49-F238E27FC236}">
              <a16:creationId xmlns:a16="http://schemas.microsoft.com/office/drawing/2014/main" id="{00000000-0008-0000-0100-00001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705225" y="1838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9</xdr:row>
      <xdr:rowOff>9525</xdr:rowOff>
    </xdr:from>
    <xdr:ext cx="47625" cy="47625"/>
    <xdr:pic macro="[3]!DesignIconClicked">
      <xdr:nvPicPr>
        <xdr:cNvPr id="2117" name="BExS5CPQ8P8JOQPK7ANNKHLSGOKU" hidden="1">
          <a:extLst>
            <a:ext uri="{FF2B5EF4-FFF2-40B4-BE49-F238E27FC236}">
              <a16:creationId xmlns:a16="http://schemas.microsoft.com/office/drawing/2014/main" id="{00000000-0008-0000-0100-00004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95700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3</xdr:col>
      <xdr:colOff>0</xdr:colOff>
      <xdr:row>9</xdr:row>
      <xdr:rowOff>85725</xdr:rowOff>
    </xdr:from>
    <xdr:ext cx="47625" cy="47625"/>
    <xdr:pic macro="[3]!DesignIconClicked">
      <xdr:nvPicPr>
        <xdr:cNvPr id="2118" name="BExMM0AVUAIRNJLXB1FW8R0YB4ZZ" hidden="1">
          <a:extLst>
            <a:ext uri="{FF2B5EF4-FFF2-40B4-BE49-F238E27FC236}">
              <a16:creationId xmlns:a16="http://schemas.microsoft.com/office/drawing/2014/main" id="{00000000-0008-0000-0100-00004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695700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9</xdr:row>
      <xdr:rowOff>9525</xdr:rowOff>
    </xdr:from>
    <xdr:ext cx="47625" cy="47625"/>
    <xdr:pic macro="[3]!DesignIconClicked">
      <xdr:nvPicPr>
        <xdr:cNvPr id="2119" name="BExXZ7Y09CBS0XA7IPB3IRJ8RJM4" hidden="1">
          <a:extLst>
            <a:ext uri="{FF2B5EF4-FFF2-40B4-BE49-F238E27FC236}">
              <a16:creationId xmlns:a16="http://schemas.microsoft.com/office/drawing/2014/main" id="{00000000-0008-0000-0100-00004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95700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3</xdr:col>
      <xdr:colOff>0</xdr:colOff>
      <xdr:row>9</xdr:row>
      <xdr:rowOff>85725</xdr:rowOff>
    </xdr:from>
    <xdr:ext cx="47625" cy="47625"/>
    <xdr:pic macro="[3]!DesignIconClicked">
      <xdr:nvPicPr>
        <xdr:cNvPr id="2120" name="BExQ7SXS9VUG7P6CACU2J7R2SGIZ" hidden="1">
          <a:extLst>
            <a:ext uri="{FF2B5EF4-FFF2-40B4-BE49-F238E27FC236}">
              <a16:creationId xmlns:a16="http://schemas.microsoft.com/office/drawing/2014/main" id="{00000000-0008-0000-0100-00004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695700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3</xdr:col>
      <xdr:colOff>19050</xdr:colOff>
      <xdr:row>9</xdr:row>
      <xdr:rowOff>9525</xdr:rowOff>
    </xdr:from>
    <xdr:ext cx="47625" cy="47625"/>
    <xdr:pic macro="[3]!DesignIconClicked">
      <xdr:nvPicPr>
        <xdr:cNvPr id="2121" name="BEx5AQZ4ETQ9LMY5EBWVH20Z7VXQ" hidden="1">
          <a:extLst>
            <a:ext uri="{FF2B5EF4-FFF2-40B4-BE49-F238E27FC236}">
              <a16:creationId xmlns:a16="http://schemas.microsoft.com/office/drawing/2014/main" id="{00000000-0008-0000-0100-00004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43425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3</xdr:col>
      <xdr:colOff>19050</xdr:colOff>
      <xdr:row>9</xdr:row>
      <xdr:rowOff>85725</xdr:rowOff>
    </xdr:from>
    <xdr:ext cx="47625" cy="47625"/>
    <xdr:pic macro="[3]!DesignIconClicked">
      <xdr:nvPicPr>
        <xdr:cNvPr id="2122" name="BExUBK0YZ5VYFY8TTITJGJU9S06A" hidden="1">
          <a:extLst>
            <a:ext uri="{FF2B5EF4-FFF2-40B4-BE49-F238E27FC236}">
              <a16:creationId xmlns:a16="http://schemas.microsoft.com/office/drawing/2014/main" id="{00000000-0008-0000-0100-00004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5</xdr:col>
      <xdr:colOff>0</xdr:colOff>
      <xdr:row>9</xdr:row>
      <xdr:rowOff>9525</xdr:rowOff>
    </xdr:from>
    <xdr:ext cx="47625" cy="47625"/>
    <xdr:pic macro="[3]!DesignIconClicked">
      <xdr:nvPicPr>
        <xdr:cNvPr id="2123" name="BExUEZCSSJ7RN4J18I2NUIQR2FZS" hidden="1">
          <a:extLst>
            <a:ext uri="{FF2B5EF4-FFF2-40B4-BE49-F238E27FC236}">
              <a16:creationId xmlns:a16="http://schemas.microsoft.com/office/drawing/2014/main" id="{00000000-0008-0000-0100-00004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400675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5</xdr:col>
      <xdr:colOff>0</xdr:colOff>
      <xdr:row>9</xdr:row>
      <xdr:rowOff>85725</xdr:rowOff>
    </xdr:from>
    <xdr:ext cx="47625" cy="47625"/>
    <xdr:pic macro="[3]!DesignIconClicked">
      <xdr:nvPicPr>
        <xdr:cNvPr id="2124" name="BExS3JDQWF7U3F5JTEVOE16ASIYK" hidden="1">
          <a:extLst>
            <a:ext uri="{FF2B5EF4-FFF2-40B4-BE49-F238E27FC236}">
              <a16:creationId xmlns:a16="http://schemas.microsoft.com/office/drawing/2014/main" id="{00000000-0008-0000-0100-00004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00675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3</xdr:col>
      <xdr:colOff>0</xdr:colOff>
      <xdr:row>10</xdr:row>
      <xdr:rowOff>0</xdr:rowOff>
    </xdr:from>
    <xdr:ext cx="123825" cy="123825"/>
    <xdr:pic macro="[3]!DesignIconClicked">
      <xdr:nvPicPr>
        <xdr:cNvPr id="2127" name="BEx973S463FCQVJ7QDFBUIU0WJ3F" descr="ZQTVYL8DCSADVT0QMRXFLU0TR" hidden="1">
          <a:extLst>
            <a:ext uri="{FF2B5EF4-FFF2-40B4-BE49-F238E27FC236}">
              <a16:creationId xmlns:a16="http://schemas.microsoft.com/office/drawing/2014/main" id="{00000000-0008-0000-0100-00004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7242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10</xdr:row>
      <xdr:rowOff>0</xdr:rowOff>
    </xdr:from>
    <xdr:ext cx="123825" cy="123825"/>
    <xdr:pic macro="[3]!DesignIconClicked">
      <xdr:nvPicPr>
        <xdr:cNvPr id="2128" name="BExRZO0PLWWMCLGRH7EH6UXYWGAJ" descr="9D4GQ34QB727H10MA3SSAR2R9" hidden="1">
          <a:extLst>
            <a:ext uri="{FF2B5EF4-FFF2-40B4-BE49-F238E27FC236}">
              <a16:creationId xmlns:a16="http://schemas.microsoft.com/office/drawing/2014/main" id="{00000000-0008-0000-0100-00005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7623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10</xdr:row>
      <xdr:rowOff>0</xdr:rowOff>
    </xdr:from>
    <xdr:ext cx="123825" cy="123825"/>
    <xdr:pic macro="[3]!DesignIconClicked">
      <xdr:nvPicPr>
        <xdr:cNvPr id="2129" name="BExBDP6HNAAJUM39SE5G2C8BKNRQ" descr="1TM64TL2QIMYV7WYSV2VLGXY4" hidden="1">
          <a:extLst>
            <a:ext uri="{FF2B5EF4-FFF2-40B4-BE49-F238E27FC236}">
              <a16:creationId xmlns:a16="http://schemas.microsoft.com/office/drawing/2014/main" id="{00000000-0008-0000-0100-00005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724275" y="3267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10</xdr:row>
      <xdr:rowOff>0</xdr:rowOff>
    </xdr:from>
    <xdr:ext cx="123825" cy="123825"/>
    <xdr:pic macro="[3]!DesignIconClicked">
      <xdr:nvPicPr>
        <xdr:cNvPr id="2130" name="BExQEGJP61DL2NZY6LMBHBZ0J5YT" descr="D6ZNRZJ7EX4GZT9RO8LE0C905" hidden="1">
          <a:extLst>
            <a:ext uri="{FF2B5EF4-FFF2-40B4-BE49-F238E27FC236}">
              <a16:creationId xmlns:a16="http://schemas.microsoft.com/office/drawing/2014/main" id="{00000000-0008-0000-0100-00005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724275" y="3409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10</xdr:row>
      <xdr:rowOff>0</xdr:rowOff>
    </xdr:from>
    <xdr:ext cx="123825" cy="123825"/>
    <xdr:pic macro="[3]!DesignIconClicked">
      <xdr:nvPicPr>
        <xdr:cNvPr id="2131" name="BExTY1BCS6HZIF6HI5491FGHDVAE" descr="MJ6976KI2UH1IE8M227DUYXMJ" hidden="1">
          <a:extLst>
            <a:ext uri="{FF2B5EF4-FFF2-40B4-BE49-F238E27FC236}">
              <a16:creationId xmlns:a16="http://schemas.microsoft.com/office/drawing/2014/main" id="{00000000-0008-0000-0100-00005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724275" y="3552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10</xdr:row>
      <xdr:rowOff>0</xdr:rowOff>
    </xdr:from>
    <xdr:ext cx="123825" cy="123825"/>
    <xdr:pic macro="[3]!DesignIconClicked">
      <xdr:nvPicPr>
        <xdr:cNvPr id="2137" name="BEx5FXJGJOT93D0J2IRJ3985IUMI" hidden="1">
          <a:extLst>
            <a:ext uri="{FF2B5EF4-FFF2-40B4-BE49-F238E27FC236}">
              <a16:creationId xmlns:a16="http://schemas.microsoft.com/office/drawing/2014/main" id="{00000000-0008-0000-0100-00005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724275" y="1838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10</xdr:row>
      <xdr:rowOff>0</xdr:rowOff>
    </xdr:from>
    <xdr:ext cx="123825" cy="123825"/>
    <xdr:pic macro="[3]!DesignIconClicked">
      <xdr:nvPicPr>
        <xdr:cNvPr id="2138" name="BEx3RTMHAR35NUAAK49TV6NU7EPA" descr="QFXLG4ZCXTRQSJYFCKJ58G9N8" hidden="1">
          <a:extLst>
            <a:ext uri="{FF2B5EF4-FFF2-40B4-BE49-F238E27FC236}">
              <a16:creationId xmlns:a16="http://schemas.microsoft.com/office/drawing/2014/main" id="{00000000-0008-0000-0100-00005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686175" y="1695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10</xdr:row>
      <xdr:rowOff>0</xdr:rowOff>
    </xdr:from>
    <xdr:ext cx="123825" cy="123825"/>
    <xdr:pic macro="[3]!DesignIconClicked">
      <xdr:nvPicPr>
        <xdr:cNvPr id="2139" name="BExS8T38WLC2R738ZC7BDJQAKJAJ" descr="MRI962L5PB0E0YWXCIBN82VJH" hidden="1">
          <a:extLst>
            <a:ext uri="{FF2B5EF4-FFF2-40B4-BE49-F238E27FC236}">
              <a16:creationId xmlns:a16="http://schemas.microsoft.com/office/drawing/2014/main" id="{00000000-0008-0000-0100-00005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7623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10</xdr:row>
      <xdr:rowOff>0</xdr:rowOff>
    </xdr:from>
    <xdr:ext cx="123825" cy="123825"/>
    <xdr:pic macro="[3]!DesignIconClicked">
      <xdr:nvPicPr>
        <xdr:cNvPr id="2140" name="BEx5F64BJ6DCM4EJH81D5ZFNPZ0V" descr="7DJ9FILZD2YPS6X1JBP9E76TU" hidden="1">
          <a:extLst>
            <a:ext uri="{FF2B5EF4-FFF2-40B4-BE49-F238E27FC236}">
              <a16:creationId xmlns:a16="http://schemas.microsoft.com/office/drawing/2014/main" id="{00000000-0008-0000-0100-00005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724275" y="1838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10</xdr:row>
      <xdr:rowOff>0</xdr:rowOff>
    </xdr:from>
    <xdr:ext cx="123825" cy="123825"/>
    <xdr:pic macro="[3]!DesignIconClicked">
      <xdr:nvPicPr>
        <xdr:cNvPr id="2141" name="BExQEXXHA3EEXR44LT6RKCDWM6ZT" hidden="1">
          <a:extLst>
            <a:ext uri="{FF2B5EF4-FFF2-40B4-BE49-F238E27FC236}">
              <a16:creationId xmlns:a16="http://schemas.microsoft.com/office/drawing/2014/main" id="{00000000-0008-0000-0100-00005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724275" y="1838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10</xdr:row>
      <xdr:rowOff>0</xdr:rowOff>
    </xdr:from>
    <xdr:ext cx="123825" cy="123825"/>
    <xdr:pic macro="[3]!DesignIconClicked">
      <xdr:nvPicPr>
        <xdr:cNvPr id="2142" name="BEx1X6AMHV6ZK3UJB2BXIJTJHYJU" descr="OALR4L95ELQLZ1Y1LETHM1CS9" hidden="1">
          <a:extLst>
            <a:ext uri="{FF2B5EF4-FFF2-40B4-BE49-F238E27FC236}">
              <a16:creationId xmlns:a16="http://schemas.microsoft.com/office/drawing/2014/main" id="{00000000-0008-0000-0100-00005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7623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10</xdr:row>
      <xdr:rowOff>0</xdr:rowOff>
    </xdr:from>
    <xdr:ext cx="123825" cy="123825"/>
    <xdr:pic macro="[3]!DesignIconClicked">
      <xdr:nvPicPr>
        <xdr:cNvPr id="2143" name="BExSDIVCE09QKG3CT52PHCS6ZJ09" descr="9F076L7EQCF2COMMGCQG6BQGU" hidden="1">
          <a:extLst>
            <a:ext uri="{FF2B5EF4-FFF2-40B4-BE49-F238E27FC236}">
              <a16:creationId xmlns:a16="http://schemas.microsoft.com/office/drawing/2014/main" id="{00000000-0008-0000-0100-00005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686175" y="1695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10</xdr:row>
      <xdr:rowOff>0</xdr:rowOff>
    </xdr:from>
    <xdr:ext cx="123825" cy="123825"/>
    <xdr:pic macro="[3]!DesignIconClicked">
      <xdr:nvPicPr>
        <xdr:cNvPr id="2144" name="BEx1QZGQZBAWJ8591VXEIPUOVS7X" descr="MEW27CPIFG44B7E7HEQUUF5QF" hidden="1">
          <a:extLst>
            <a:ext uri="{FF2B5EF4-FFF2-40B4-BE49-F238E27FC236}">
              <a16:creationId xmlns:a16="http://schemas.microsoft.com/office/drawing/2014/main" id="{00000000-0008-0000-0100-00006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7242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10</xdr:row>
      <xdr:rowOff>0</xdr:rowOff>
    </xdr:from>
    <xdr:ext cx="123825" cy="123825"/>
    <xdr:pic macro="[3]!DesignIconClicked">
      <xdr:nvPicPr>
        <xdr:cNvPr id="2145" name="BExMF7LICJLPXSHM63A6EQ79YQKG" descr="U084VZL15IMB1OFRRAY6GVKAE" hidden="1">
          <a:extLst>
            <a:ext uri="{FF2B5EF4-FFF2-40B4-BE49-F238E27FC236}">
              <a16:creationId xmlns:a16="http://schemas.microsoft.com/office/drawing/2014/main" id="{00000000-0008-0000-0100-00006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724275" y="2981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10</xdr:row>
      <xdr:rowOff>0</xdr:rowOff>
    </xdr:from>
    <xdr:ext cx="123825" cy="123825"/>
    <xdr:pic macro="[3]!DesignIconClicked">
      <xdr:nvPicPr>
        <xdr:cNvPr id="2146" name="BExS343F8GCKP6HTF9Y97L133DX8" descr="ZRF0KB1IYQSNV63CTXT25G67G" hidden="1">
          <a:extLst>
            <a:ext uri="{FF2B5EF4-FFF2-40B4-BE49-F238E27FC236}">
              <a16:creationId xmlns:a16="http://schemas.microsoft.com/office/drawing/2014/main" id="{00000000-0008-0000-0100-00006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724275" y="2838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10</xdr:row>
      <xdr:rowOff>0</xdr:rowOff>
    </xdr:from>
    <xdr:ext cx="123825" cy="123825"/>
    <xdr:pic macro="[3]!DesignIconClicked">
      <xdr:nvPicPr>
        <xdr:cNvPr id="2147" name="BExZMRC09W87CY4B73NPZMNH21AH" descr="78CUMI0OVLYJRSDRQ3V2YX812" hidden="1">
          <a:extLst>
            <a:ext uri="{FF2B5EF4-FFF2-40B4-BE49-F238E27FC236}">
              <a16:creationId xmlns:a16="http://schemas.microsoft.com/office/drawing/2014/main" id="{00000000-0008-0000-0100-00006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724275" y="26955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10</xdr:row>
      <xdr:rowOff>0</xdr:rowOff>
    </xdr:from>
    <xdr:ext cx="123825" cy="123825"/>
    <xdr:pic macro="[3]!DesignIconClicked">
      <xdr:nvPicPr>
        <xdr:cNvPr id="2148" name="BExZXVFJ4DY4I24AARDT4AMP6EN1" descr="TXSMH2MTH86CYKA26740RQPUC" hidden="1">
          <a:extLst>
            <a:ext uri="{FF2B5EF4-FFF2-40B4-BE49-F238E27FC236}">
              <a16:creationId xmlns:a16="http://schemas.microsoft.com/office/drawing/2014/main" id="{00000000-0008-0000-0100-00006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724275" y="25622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10</xdr:row>
      <xdr:rowOff>0</xdr:rowOff>
    </xdr:from>
    <xdr:ext cx="123825" cy="123825"/>
    <xdr:pic macro="[3]!DesignIconClicked">
      <xdr:nvPicPr>
        <xdr:cNvPr id="2149" name="BExOCUIOFQWUGTBU5ESTW3EYEP5C" descr="9BNF49V0R6VVYPHEVMJ3ABDQZ" hidden="1">
          <a:extLst>
            <a:ext uri="{FF2B5EF4-FFF2-40B4-BE49-F238E27FC236}">
              <a16:creationId xmlns:a16="http://schemas.microsoft.com/office/drawing/2014/main" id="{00000000-0008-0000-0100-00006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7242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10</xdr:row>
      <xdr:rowOff>0</xdr:rowOff>
    </xdr:from>
    <xdr:ext cx="123825" cy="123825"/>
    <xdr:pic macro="[3]!DesignIconClicked">
      <xdr:nvPicPr>
        <xdr:cNvPr id="2150" name="BExU65O9OE4B4MQ2A3OYH13M8BZJ" descr="3INNIMMPDBB0JF37L81M6ID21" hidden="1">
          <a:extLst>
            <a:ext uri="{FF2B5EF4-FFF2-40B4-BE49-F238E27FC236}">
              <a16:creationId xmlns:a16="http://schemas.microsoft.com/office/drawing/2014/main" id="{00000000-0008-0000-0100-00006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724275" y="2266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10</xdr:row>
      <xdr:rowOff>0</xdr:rowOff>
    </xdr:from>
    <xdr:ext cx="123825" cy="123825"/>
    <xdr:pic macro="[3]!DesignIconClicked">
      <xdr:nvPicPr>
        <xdr:cNvPr id="2151" name="BExOPRCR0UW7TKXSV5WDTL348FGL" descr="S9JM17GP1802LHN4GT14BJYIC" hidden="1">
          <a:extLst>
            <a:ext uri="{FF2B5EF4-FFF2-40B4-BE49-F238E27FC236}">
              <a16:creationId xmlns:a16="http://schemas.microsoft.com/office/drawing/2014/main" id="{00000000-0008-0000-0100-00006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7242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10</xdr:row>
      <xdr:rowOff>0</xdr:rowOff>
    </xdr:from>
    <xdr:ext cx="123825" cy="123825"/>
    <xdr:pic macro="[3]!DesignIconClicked">
      <xdr:nvPicPr>
        <xdr:cNvPr id="2152" name="BEx5OESAY2W8SEGI3TSB65EHJ04B" descr="9CN2Y88X8WYV1HWZG1QILY9BK" hidden="1">
          <a:extLst>
            <a:ext uri="{FF2B5EF4-FFF2-40B4-BE49-F238E27FC236}">
              <a16:creationId xmlns:a16="http://schemas.microsoft.com/office/drawing/2014/main" id="{00000000-0008-0000-0100-00006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7242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0</xdr:colOff>
      <xdr:row>10</xdr:row>
      <xdr:rowOff>0</xdr:rowOff>
    </xdr:from>
    <xdr:ext cx="123825" cy="123825"/>
    <xdr:pic macro="[3]!DesignIconClicked">
      <xdr:nvPicPr>
        <xdr:cNvPr id="2153" name="BExGMWEQ2BYRY9BAO5T1X850MJN1" descr="AZ9ST0XDIOP50HSUFO5V31BR0" hidden="1">
          <a:extLst>
            <a:ext uri="{FF2B5EF4-FFF2-40B4-BE49-F238E27FC236}">
              <a16:creationId xmlns:a16="http://schemas.microsoft.com/office/drawing/2014/main" id="{00000000-0008-0000-0100-00006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724275" y="1838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twoCellAnchor editAs="absolute">
    <xdr:from>
      <xdr:col>3</xdr:col>
      <xdr:colOff>781055</xdr:colOff>
      <xdr:row>0</xdr:row>
      <xdr:rowOff>59357</xdr:rowOff>
    </xdr:from>
    <xdr:to>
      <xdr:col>3</xdr:col>
      <xdr:colOff>1050245</xdr:colOff>
      <xdr:row>1</xdr:row>
      <xdr:rowOff>60332</xdr:rowOff>
    </xdr:to>
    <xdr:pic macro="[0]!Sheet2.Info_click">
      <xdr:nvPicPr>
        <xdr:cNvPr id="2759" name="Info">
          <a:extLst>
            <a:ext uri="{FF2B5EF4-FFF2-40B4-BE49-F238E27FC236}">
              <a16:creationId xmlns:a16="http://schemas.microsoft.com/office/drawing/2014/main" id="{00000000-0008-0000-0100-0000C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79175" y="65072"/>
          <a:ext cx="349200" cy="277200"/>
        </a:xfrm>
        <a:prstGeom prst="rect">
          <a:avLst/>
        </a:prstGeom>
        <a:noFill/>
      </xdr:spPr>
    </xdr:pic>
    <xdr:clientData fPrintsWithSheet="0"/>
  </xdr:twoCellAnchor>
  <xdr:twoCellAnchor editAs="absolute">
    <xdr:from>
      <xdr:col>3</xdr:col>
      <xdr:colOff>781056</xdr:colOff>
      <xdr:row>0</xdr:row>
      <xdr:rowOff>59357</xdr:rowOff>
    </xdr:from>
    <xdr:to>
      <xdr:col>3</xdr:col>
      <xdr:colOff>1050246</xdr:colOff>
      <xdr:row>1</xdr:row>
      <xdr:rowOff>60332</xdr:rowOff>
    </xdr:to>
    <xdr:pic macro="[0]!Sheet2.InfoA_click">
      <xdr:nvPicPr>
        <xdr:cNvPr id="2760" name="InfoA" hidden="1">
          <a:extLst>
            <a:ext uri="{FF2B5EF4-FFF2-40B4-BE49-F238E27FC236}">
              <a16:creationId xmlns:a16="http://schemas.microsoft.com/office/drawing/2014/main" id="{00000000-0008-0000-0100-0000C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79176" y="65072"/>
          <a:ext cx="349200" cy="277200"/>
        </a:xfrm>
        <a:prstGeom prst="rect">
          <a:avLst/>
        </a:prstGeom>
        <a:noFill/>
      </xdr:spPr>
    </xdr:pic>
    <xdr:clientData fPrintsWithSheet="0"/>
  </xdr:twoCellAnchor>
  <xdr:twoCellAnchor editAs="absolute">
    <xdr:from>
      <xdr:col>3</xdr:col>
      <xdr:colOff>212820</xdr:colOff>
      <xdr:row>0</xdr:row>
      <xdr:rowOff>59357</xdr:rowOff>
    </xdr:from>
    <xdr:to>
      <xdr:col>3</xdr:col>
      <xdr:colOff>554400</xdr:colOff>
      <xdr:row>1</xdr:row>
      <xdr:rowOff>60332</xdr:rowOff>
    </xdr:to>
    <xdr:pic macro="[0]!Sheet2.filter_click">
      <xdr:nvPicPr>
        <xdr:cNvPr id="2761" name="Filter" hidden="1">
          <a:extLst>
            <a:ext uri="{FF2B5EF4-FFF2-40B4-BE49-F238E27FC236}">
              <a16:creationId xmlns:a16="http://schemas.microsoft.com/office/drawing/2014/main" id="{00000000-0008-0000-0100-0000C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0940" y="65072"/>
          <a:ext cx="349200" cy="277200"/>
        </a:xfrm>
        <a:prstGeom prst="rect">
          <a:avLst/>
        </a:prstGeom>
        <a:noFill/>
      </xdr:spPr>
    </xdr:pic>
    <xdr:clientData fPrintsWithSheet="0"/>
  </xdr:twoCellAnchor>
  <xdr:twoCellAnchor editAs="absolute">
    <xdr:from>
      <xdr:col>3</xdr:col>
      <xdr:colOff>248976</xdr:colOff>
      <xdr:row>0</xdr:row>
      <xdr:rowOff>59357</xdr:rowOff>
    </xdr:from>
    <xdr:to>
      <xdr:col>3</xdr:col>
      <xdr:colOff>590556</xdr:colOff>
      <xdr:row>1</xdr:row>
      <xdr:rowOff>60332</xdr:rowOff>
    </xdr:to>
    <xdr:pic macro="[0]!Sheet2.filterA_click">
      <xdr:nvPicPr>
        <xdr:cNvPr id="2762" name="FilterA">
          <a:extLst>
            <a:ext uri="{FF2B5EF4-FFF2-40B4-BE49-F238E27FC236}">
              <a16:creationId xmlns:a16="http://schemas.microsoft.com/office/drawing/2014/main" id="{00000000-0008-0000-0100-0000C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39476" y="65072"/>
          <a:ext cx="349200" cy="277200"/>
        </a:xfrm>
        <a:prstGeom prst="rect">
          <a:avLst/>
        </a:prstGeom>
        <a:noFill/>
      </xdr:spPr>
    </xdr:pic>
    <xdr:clientData fPrintsWithSheet="0"/>
  </xdr:twoCellAnchor>
  <xdr:twoCellAnchor>
    <xdr:from>
      <xdr:col>0</xdr:col>
      <xdr:colOff>0</xdr:colOff>
      <xdr:row>3</xdr:row>
      <xdr:rowOff>9525</xdr:rowOff>
    </xdr:from>
    <xdr:to>
      <xdr:col>8</xdr:col>
      <xdr:colOff>0</xdr:colOff>
      <xdr:row>4</xdr:row>
      <xdr:rowOff>0</xdr:rowOff>
    </xdr:to>
    <xdr:sp macro="" textlink="">
      <xdr:nvSpPr>
        <xdr:cNvPr id="537" name="TextQueryTitle">
          <a:extLst>
            <a:ext uri="{FF2B5EF4-FFF2-40B4-BE49-F238E27FC236}">
              <a16:creationId xmlns:a16="http://schemas.microsoft.com/office/drawing/2014/main" id="{00000000-0008-0000-0100-000019020000}"/>
            </a:ext>
          </a:extLst>
        </xdr:cNvPr>
        <xdr:cNvSpPr txBox="1">
          <a:spLocks noChangeArrowheads="1"/>
        </xdr:cNvSpPr>
      </xdr:nvSpPr>
      <xdr:spPr bwMode="auto">
        <a:xfrm>
          <a:off x="0" y="1162050"/>
          <a:ext cx="107061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en-US" sz="1400" b="1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3</xdr:col>
      <xdr:colOff>193537</xdr:colOff>
      <xdr:row>1</xdr:row>
      <xdr:rowOff>77031</xdr:rowOff>
    </xdr:from>
    <xdr:to>
      <xdr:col>3</xdr:col>
      <xdr:colOff>2689143</xdr:colOff>
      <xdr:row>3</xdr:row>
      <xdr:rowOff>57150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3797" y="351351"/>
          <a:ext cx="2484176" cy="749739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</xdr:row>
      <xdr:rowOff>0</xdr:rowOff>
    </xdr:from>
    <xdr:to>
      <xdr:col>3</xdr:col>
      <xdr:colOff>701675</xdr:colOff>
      <xdr:row>6</xdr:row>
      <xdr:rowOff>130175</xdr:rowOff>
    </xdr:to>
    <xdr:pic macro="[3]!DesignIconClicked">
      <xdr:nvPicPr>
        <xdr:cNvPr id="58" name="BExZYV3HESHZGXXLJGQ2T2XP83HR" hidden="1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1771650"/>
          <a:ext cx="3282950" cy="13017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</xdr:row>
      <xdr:rowOff>0</xdr:rowOff>
    </xdr:from>
    <xdr:to>
      <xdr:col>6</xdr:col>
      <xdr:colOff>0</xdr:colOff>
      <xdr:row>6</xdr:row>
      <xdr:rowOff>130175</xdr:rowOff>
    </xdr:to>
    <xdr:pic macro="[3]!DesignIconClicked">
      <xdr:nvPicPr>
        <xdr:cNvPr id="59" name="BExOAO5F6DQNL3T99SCQUI1V5YFP" descr="QD63FMH2M443ZK5KXEEK6PC7V" hidden="1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6372225" y="1771650"/>
          <a:ext cx="2254250" cy="13017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>
    <xdr:from>
      <xdr:col>5</xdr:col>
      <xdr:colOff>0</xdr:colOff>
      <xdr:row>4</xdr:row>
      <xdr:rowOff>0</xdr:rowOff>
    </xdr:from>
    <xdr:to>
      <xdr:col>6</xdr:col>
      <xdr:colOff>0</xdr:colOff>
      <xdr:row>4</xdr:row>
      <xdr:rowOff>1587</xdr:rowOff>
    </xdr:to>
    <xdr:pic macro="[3]!DesignIconClicked">
      <xdr:nvPicPr>
        <xdr:cNvPr id="2058" name="BExOAO5F6DQNL3T99SCQUI1V5YFP" descr="QD63FMH2M443ZK5KXEEK6PC7V" hidden="1">
          <a:extLst>
            <a:ext uri="{FF2B5EF4-FFF2-40B4-BE49-F238E27FC236}">
              <a16:creationId xmlns:a16="http://schemas.microsoft.com/office/drawing/2014/main" id="{00000000-0008-0000-0100-00000A08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7096125" y="1381125"/>
          <a:ext cx="3902075" cy="1587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>
    <xdr:from>
      <xdr:col>3</xdr:col>
      <xdr:colOff>0</xdr:colOff>
      <xdr:row>4</xdr:row>
      <xdr:rowOff>0</xdr:rowOff>
    </xdr:from>
    <xdr:to>
      <xdr:col>3</xdr:col>
      <xdr:colOff>3130550</xdr:colOff>
      <xdr:row>4</xdr:row>
      <xdr:rowOff>1587</xdr:rowOff>
    </xdr:to>
    <xdr:pic macro="[3]!DesignIconClicked">
      <xdr:nvPicPr>
        <xdr:cNvPr id="2116" name="BExZYV3HESHZGXXLJGQ2T2XP83HR" hidden="1">
          <a:extLst>
            <a:ext uri="{FF2B5EF4-FFF2-40B4-BE49-F238E27FC236}">
              <a16:creationId xmlns:a16="http://schemas.microsoft.com/office/drawing/2014/main" id="{00000000-0008-0000-0100-00004408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1381125"/>
          <a:ext cx="4044950" cy="158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25400</xdr:colOff>
      <xdr:row>2</xdr:row>
      <xdr:rowOff>254000</xdr:rowOff>
    </xdr:to>
    <xdr:pic macro="[3]!DesignIconClicked">
      <xdr:nvPicPr>
        <xdr:cNvPr id="2052" name="BExOEVCF4XNC2P9B127ZDEUNMQU0" hidden="1">
          <a:extLst>
            <a:ext uri="{FF2B5EF4-FFF2-40B4-BE49-F238E27FC236}">
              <a16:creationId xmlns:a16="http://schemas.microsoft.com/office/drawing/2014/main" id="{00000000-0008-0000-0100-00000408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00100"/>
          <a:ext cx="25400" cy="2540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</xdr:row>
      <xdr:rowOff>0</xdr:rowOff>
    </xdr:from>
    <xdr:to>
      <xdr:col>3</xdr:col>
      <xdr:colOff>3130550</xdr:colOff>
      <xdr:row>7</xdr:row>
      <xdr:rowOff>0</xdr:rowOff>
    </xdr:to>
    <xdr:pic macro="[3]!DesignIconClicked">
      <xdr:nvPicPr>
        <xdr:cNvPr id="9" name="BEx1QA54KCDY4DB1F13GOZJVPHOA" hidden="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1952625"/>
          <a:ext cx="4044950" cy="13017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10</xdr:col>
      <xdr:colOff>1101725</xdr:colOff>
      <xdr:row>73</xdr:row>
      <xdr:rowOff>0</xdr:rowOff>
    </xdr:to>
    <xdr:pic macro="[3]!DesignIconClicked">
      <xdr:nvPicPr>
        <xdr:cNvPr id="2063" name="BExXRND8208TWULE9S50U89VKPB7" descr="ETUGZV0SKTQDQB8JOYY0DCX79" hidden="1">
          <a:extLst>
            <a:ext uri="{FF2B5EF4-FFF2-40B4-BE49-F238E27FC236}">
              <a16:creationId xmlns:a16="http://schemas.microsoft.com/office/drawing/2014/main" id="{00000000-0008-0000-0100-00000F08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2228850" y="2238375"/>
          <a:ext cx="27981275" cy="2625725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oneCellAnchor>
    <xdr:from>
      <xdr:col>3</xdr:col>
      <xdr:colOff>28575</xdr:colOff>
      <xdr:row>10</xdr:row>
      <xdr:rowOff>0</xdr:rowOff>
    </xdr:from>
    <xdr:ext cx="123825" cy="123825"/>
    <xdr:pic macro="[3]!DesignIconClicked">
      <xdr:nvPicPr>
        <xdr:cNvPr id="64" name="BExW253QPOZK9KW8BJC3LBXGCG2N" descr="Y5HX37BEUWSN1NEFJKZJXI3SX" hidden="1">
          <a:extLst>
            <a:ext uri="{FF2B5EF4-FFF2-40B4-BE49-F238E27FC236}">
              <a16:creationId xmlns:a16="http://schemas.microsoft.com/office/drawing/2014/main" id="{10DD358C-B68C-4476-8C33-0884D7387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08835" y="24460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10</xdr:row>
      <xdr:rowOff>0</xdr:rowOff>
    </xdr:from>
    <xdr:ext cx="123825" cy="123825"/>
    <xdr:pic macro="[3]!DesignIconClicked">
      <xdr:nvPicPr>
        <xdr:cNvPr id="65" name="BEx973S463FCQVJ7QDFBUIU0WJ3F" descr="ZQTVYL8DCSADVT0QMRXFLU0TR" hidden="1">
          <a:extLst>
            <a:ext uri="{FF2B5EF4-FFF2-40B4-BE49-F238E27FC236}">
              <a16:creationId xmlns:a16="http://schemas.microsoft.com/office/drawing/2014/main" id="{D21F84CA-92CA-4AEE-BB90-95164049A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27885" y="24460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85725</xdr:colOff>
      <xdr:row>10</xdr:row>
      <xdr:rowOff>0</xdr:rowOff>
    </xdr:from>
    <xdr:ext cx="123825" cy="123825"/>
    <xdr:pic macro="[3]!DesignIconClicked">
      <xdr:nvPicPr>
        <xdr:cNvPr id="66" name="BExRZO0PLWWMCLGRH7EH6UXYWGAJ" descr="9D4GQ34QB727H10MA3SSAR2R9" hidden="1">
          <a:extLst>
            <a:ext uri="{FF2B5EF4-FFF2-40B4-BE49-F238E27FC236}">
              <a16:creationId xmlns:a16="http://schemas.microsoft.com/office/drawing/2014/main" id="{750D2302-5031-4597-BAAB-0A4448453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65985" y="24460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10</xdr:row>
      <xdr:rowOff>0</xdr:rowOff>
    </xdr:from>
    <xdr:ext cx="123825" cy="123825"/>
    <xdr:pic macro="[3]!DesignIconClicked">
      <xdr:nvPicPr>
        <xdr:cNvPr id="67" name="BExBDP6HNAAJUM39SE5G2C8BKNRQ" descr="1TM64TL2QIMYV7WYSV2VLGXY4" hidden="1">
          <a:extLst>
            <a:ext uri="{FF2B5EF4-FFF2-40B4-BE49-F238E27FC236}">
              <a16:creationId xmlns:a16="http://schemas.microsoft.com/office/drawing/2014/main" id="{FB0DCFAF-3DCA-4912-9811-E5E627C40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27885" y="24460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10</xdr:row>
      <xdr:rowOff>0</xdr:rowOff>
    </xdr:from>
    <xdr:ext cx="123825" cy="123825"/>
    <xdr:pic macro="[3]!DesignIconClicked">
      <xdr:nvPicPr>
        <xdr:cNvPr id="68" name="BExQEGJP61DL2NZY6LMBHBZ0J5YT" descr="D6ZNRZJ7EX4GZT9RO8LE0C905" hidden="1">
          <a:extLst>
            <a:ext uri="{FF2B5EF4-FFF2-40B4-BE49-F238E27FC236}">
              <a16:creationId xmlns:a16="http://schemas.microsoft.com/office/drawing/2014/main" id="{BCFA6B8D-2D3C-4A7A-A10D-D2E2792C5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27885" y="24460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10</xdr:row>
      <xdr:rowOff>0</xdr:rowOff>
    </xdr:from>
    <xdr:ext cx="123825" cy="123825"/>
    <xdr:pic macro="[3]!DesignIconClicked">
      <xdr:nvPicPr>
        <xdr:cNvPr id="69" name="BExTY1BCS6HZIF6HI5491FGHDVAE" descr="MJ6976KI2UH1IE8M227DUYXMJ" hidden="1">
          <a:extLst>
            <a:ext uri="{FF2B5EF4-FFF2-40B4-BE49-F238E27FC236}">
              <a16:creationId xmlns:a16="http://schemas.microsoft.com/office/drawing/2014/main" id="{A2A5AB75-E12F-4E12-A112-BEB101B54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27885" y="24460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10</xdr:row>
      <xdr:rowOff>0</xdr:rowOff>
    </xdr:from>
    <xdr:ext cx="123825" cy="123825"/>
    <xdr:pic macro="[3]!DesignIconClicked">
      <xdr:nvPicPr>
        <xdr:cNvPr id="70" name="BEx5FXJGJOT93D0J2IRJ3985IUMI" hidden="1">
          <a:extLst>
            <a:ext uri="{FF2B5EF4-FFF2-40B4-BE49-F238E27FC236}">
              <a16:creationId xmlns:a16="http://schemas.microsoft.com/office/drawing/2014/main" id="{30DAD18C-5F5F-46B0-91BA-EE5095002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27885" y="24460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9525</xdr:colOff>
      <xdr:row>10</xdr:row>
      <xdr:rowOff>0</xdr:rowOff>
    </xdr:from>
    <xdr:ext cx="123825" cy="123825"/>
    <xdr:pic macro="[3]!DesignIconClicked">
      <xdr:nvPicPr>
        <xdr:cNvPr id="71" name="BEx3RTMHAR35NUAAK49TV6NU7EPA" descr="QFXLG4ZCXTRQSJYFCKJ58G9N8" hidden="1">
          <a:extLst>
            <a:ext uri="{FF2B5EF4-FFF2-40B4-BE49-F238E27FC236}">
              <a16:creationId xmlns:a16="http://schemas.microsoft.com/office/drawing/2014/main" id="{5F2E4E8F-23BA-4CE6-9184-CDFE1AB63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089785" y="24460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85725</xdr:colOff>
      <xdr:row>10</xdr:row>
      <xdr:rowOff>0</xdr:rowOff>
    </xdr:from>
    <xdr:ext cx="123825" cy="123825"/>
    <xdr:pic macro="[3]!DesignIconClicked">
      <xdr:nvPicPr>
        <xdr:cNvPr id="72" name="BExS8T38WLC2R738ZC7BDJQAKJAJ" descr="MRI962L5PB0E0YWXCIBN82VJH" hidden="1">
          <a:extLst>
            <a:ext uri="{FF2B5EF4-FFF2-40B4-BE49-F238E27FC236}">
              <a16:creationId xmlns:a16="http://schemas.microsoft.com/office/drawing/2014/main" id="{5231B08B-6FC6-402E-B703-5CAEA0E09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65985" y="24460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10</xdr:row>
      <xdr:rowOff>0</xdr:rowOff>
    </xdr:from>
    <xdr:ext cx="123825" cy="123825"/>
    <xdr:pic macro="[3]!DesignIconClicked">
      <xdr:nvPicPr>
        <xdr:cNvPr id="73" name="BEx5F64BJ6DCM4EJH81D5ZFNPZ0V" descr="7DJ9FILZD2YPS6X1JBP9E76TU" hidden="1">
          <a:extLst>
            <a:ext uri="{FF2B5EF4-FFF2-40B4-BE49-F238E27FC236}">
              <a16:creationId xmlns:a16="http://schemas.microsoft.com/office/drawing/2014/main" id="{4BC05A7B-B826-4E2F-8F34-0AEF7D19F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27885" y="24460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10</xdr:row>
      <xdr:rowOff>0</xdr:rowOff>
    </xdr:from>
    <xdr:ext cx="123825" cy="123825"/>
    <xdr:pic macro="[3]!DesignIconClicked">
      <xdr:nvPicPr>
        <xdr:cNvPr id="74" name="BExQEXXHA3EEXR44LT6RKCDWM6ZT" hidden="1">
          <a:extLst>
            <a:ext uri="{FF2B5EF4-FFF2-40B4-BE49-F238E27FC236}">
              <a16:creationId xmlns:a16="http://schemas.microsoft.com/office/drawing/2014/main" id="{F805A9FD-93B8-425E-86E7-9788EA4E4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27885" y="24460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85725</xdr:colOff>
      <xdr:row>10</xdr:row>
      <xdr:rowOff>0</xdr:rowOff>
    </xdr:from>
    <xdr:ext cx="123825" cy="123825"/>
    <xdr:pic macro="[3]!DesignIconClicked">
      <xdr:nvPicPr>
        <xdr:cNvPr id="75" name="BEx1X6AMHV6ZK3UJB2BXIJTJHYJU" descr="OALR4L95ELQLZ1Y1LETHM1CS9" hidden="1">
          <a:extLst>
            <a:ext uri="{FF2B5EF4-FFF2-40B4-BE49-F238E27FC236}">
              <a16:creationId xmlns:a16="http://schemas.microsoft.com/office/drawing/2014/main" id="{C7B9E94D-EC40-4762-8B2D-2FEC3F048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65985" y="24460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9525</xdr:colOff>
      <xdr:row>10</xdr:row>
      <xdr:rowOff>0</xdr:rowOff>
    </xdr:from>
    <xdr:ext cx="123825" cy="123825"/>
    <xdr:pic macro="[3]!DesignIconClicked">
      <xdr:nvPicPr>
        <xdr:cNvPr id="76" name="BExSDIVCE09QKG3CT52PHCS6ZJ09" descr="9F076L7EQCF2COMMGCQG6BQGU" hidden="1">
          <a:extLst>
            <a:ext uri="{FF2B5EF4-FFF2-40B4-BE49-F238E27FC236}">
              <a16:creationId xmlns:a16="http://schemas.microsoft.com/office/drawing/2014/main" id="{5D7FE9E5-35AB-49DC-A2D6-142C51B72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089785" y="24460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10</xdr:row>
      <xdr:rowOff>0</xdr:rowOff>
    </xdr:from>
    <xdr:ext cx="123825" cy="123825"/>
    <xdr:pic macro="[3]!DesignIconClicked">
      <xdr:nvPicPr>
        <xdr:cNvPr id="77" name="BEx1QZGQZBAWJ8591VXEIPUOVS7X" descr="MEW27CPIFG44B7E7HEQUUF5QF" hidden="1">
          <a:extLst>
            <a:ext uri="{FF2B5EF4-FFF2-40B4-BE49-F238E27FC236}">
              <a16:creationId xmlns:a16="http://schemas.microsoft.com/office/drawing/2014/main" id="{F39642F5-E6B9-49A8-84E9-1630CC609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27885" y="24460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10</xdr:row>
      <xdr:rowOff>0</xdr:rowOff>
    </xdr:from>
    <xdr:ext cx="123825" cy="123825"/>
    <xdr:pic macro="[3]!DesignIconClicked">
      <xdr:nvPicPr>
        <xdr:cNvPr id="78" name="BExMF7LICJLPXSHM63A6EQ79YQKG" descr="U084VZL15IMB1OFRRAY6GVKAE" hidden="1">
          <a:extLst>
            <a:ext uri="{FF2B5EF4-FFF2-40B4-BE49-F238E27FC236}">
              <a16:creationId xmlns:a16="http://schemas.microsoft.com/office/drawing/2014/main" id="{2DBF53D9-C76F-451D-A061-95C1976F2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27885" y="24460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10</xdr:row>
      <xdr:rowOff>0</xdr:rowOff>
    </xdr:from>
    <xdr:ext cx="123825" cy="123825"/>
    <xdr:pic macro="[3]!DesignIconClicked">
      <xdr:nvPicPr>
        <xdr:cNvPr id="79" name="BExS343F8GCKP6HTF9Y97L133DX8" descr="ZRF0KB1IYQSNV63CTXT25G67G" hidden="1">
          <a:extLst>
            <a:ext uri="{FF2B5EF4-FFF2-40B4-BE49-F238E27FC236}">
              <a16:creationId xmlns:a16="http://schemas.microsoft.com/office/drawing/2014/main" id="{2F3784CF-C57C-44D7-A811-AF85AF7CB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27885" y="24460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10</xdr:row>
      <xdr:rowOff>0</xdr:rowOff>
    </xdr:from>
    <xdr:ext cx="123825" cy="123825"/>
    <xdr:pic macro="[3]!DesignIconClicked">
      <xdr:nvPicPr>
        <xdr:cNvPr id="80" name="BExZMRC09W87CY4B73NPZMNH21AH" descr="78CUMI0OVLYJRSDRQ3V2YX812" hidden="1">
          <a:extLst>
            <a:ext uri="{FF2B5EF4-FFF2-40B4-BE49-F238E27FC236}">
              <a16:creationId xmlns:a16="http://schemas.microsoft.com/office/drawing/2014/main" id="{E37F0A26-0FFB-429C-B090-B346E85FF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27885" y="24460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10</xdr:row>
      <xdr:rowOff>0</xdr:rowOff>
    </xdr:from>
    <xdr:ext cx="123825" cy="123825"/>
    <xdr:pic macro="[3]!DesignIconClicked">
      <xdr:nvPicPr>
        <xdr:cNvPr id="81" name="BExZXVFJ4DY4I24AARDT4AMP6EN1" descr="TXSMH2MTH86CYKA26740RQPUC" hidden="1">
          <a:extLst>
            <a:ext uri="{FF2B5EF4-FFF2-40B4-BE49-F238E27FC236}">
              <a16:creationId xmlns:a16="http://schemas.microsoft.com/office/drawing/2014/main" id="{D34850AD-558F-4419-AC9F-83C347C09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27885" y="24460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10</xdr:row>
      <xdr:rowOff>0</xdr:rowOff>
    </xdr:from>
    <xdr:ext cx="123825" cy="123825"/>
    <xdr:pic macro="[3]!DesignIconClicked">
      <xdr:nvPicPr>
        <xdr:cNvPr id="82" name="BExOCUIOFQWUGTBU5ESTW3EYEP5C" descr="9BNF49V0R6VVYPHEVMJ3ABDQZ" hidden="1">
          <a:extLst>
            <a:ext uri="{FF2B5EF4-FFF2-40B4-BE49-F238E27FC236}">
              <a16:creationId xmlns:a16="http://schemas.microsoft.com/office/drawing/2014/main" id="{BFD7ADAD-AA3B-455C-B231-FF9FFA9F8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27885" y="24460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10</xdr:row>
      <xdr:rowOff>0</xdr:rowOff>
    </xdr:from>
    <xdr:ext cx="123825" cy="123825"/>
    <xdr:pic macro="[3]!DesignIconClicked">
      <xdr:nvPicPr>
        <xdr:cNvPr id="83" name="BExU65O9OE4B4MQ2A3OYH13M8BZJ" descr="3INNIMMPDBB0JF37L81M6ID21" hidden="1">
          <a:extLst>
            <a:ext uri="{FF2B5EF4-FFF2-40B4-BE49-F238E27FC236}">
              <a16:creationId xmlns:a16="http://schemas.microsoft.com/office/drawing/2014/main" id="{37FEFEE6-2FC1-4F2C-8E27-78E21390A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27885" y="24460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10</xdr:row>
      <xdr:rowOff>0</xdr:rowOff>
    </xdr:from>
    <xdr:ext cx="123825" cy="123825"/>
    <xdr:pic macro="[3]!DesignIconClicked">
      <xdr:nvPicPr>
        <xdr:cNvPr id="84" name="BExOPRCR0UW7TKXSV5WDTL348FGL" descr="S9JM17GP1802LHN4GT14BJYIC" hidden="1">
          <a:extLst>
            <a:ext uri="{FF2B5EF4-FFF2-40B4-BE49-F238E27FC236}">
              <a16:creationId xmlns:a16="http://schemas.microsoft.com/office/drawing/2014/main" id="{CB930ADA-4E9B-4775-9033-4B8E9C0A2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27885" y="24460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10</xdr:row>
      <xdr:rowOff>0</xdr:rowOff>
    </xdr:from>
    <xdr:ext cx="123825" cy="123825"/>
    <xdr:pic macro="[3]!DesignIconClicked">
      <xdr:nvPicPr>
        <xdr:cNvPr id="85" name="BEx5OESAY2W8SEGI3TSB65EHJ04B" descr="9CN2Y88X8WYV1HWZG1QILY9BK" hidden="1">
          <a:extLst>
            <a:ext uri="{FF2B5EF4-FFF2-40B4-BE49-F238E27FC236}">
              <a16:creationId xmlns:a16="http://schemas.microsoft.com/office/drawing/2014/main" id="{DE0C604E-25C0-427F-8498-5777FE948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27885" y="24460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10</xdr:row>
      <xdr:rowOff>0</xdr:rowOff>
    </xdr:from>
    <xdr:ext cx="123825" cy="123825"/>
    <xdr:pic macro="[3]!DesignIconClicked">
      <xdr:nvPicPr>
        <xdr:cNvPr id="86" name="BExGMWEQ2BYRY9BAO5T1X850MJN1" descr="AZ9ST0XDIOP50HSUFO5V31BR0" hidden="1">
          <a:extLst>
            <a:ext uri="{FF2B5EF4-FFF2-40B4-BE49-F238E27FC236}">
              <a16:creationId xmlns:a16="http://schemas.microsoft.com/office/drawing/2014/main" id="{603E3B28-B497-4ED6-9C1C-ACF6A8FE6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27885" y="24460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9</xdr:row>
      <xdr:rowOff>85725</xdr:rowOff>
    </xdr:from>
    <xdr:ext cx="47625" cy="47625"/>
    <xdr:pic macro="[3]!DesignIconClicked">
      <xdr:nvPicPr>
        <xdr:cNvPr id="87" name="BExU3EX5JJCXCII4YKUJBFBGIJR2" descr="OF5ZI9PI5WH36VPANJ2DYLNMI" hidden="1">
          <a:extLst>
            <a:ext uri="{FF2B5EF4-FFF2-40B4-BE49-F238E27FC236}">
              <a16:creationId xmlns:a16="http://schemas.microsoft.com/office/drawing/2014/main" id="{4D1F4B6F-9387-4C54-BE4E-89DB115B0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05740" y="171640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4</xdr:col>
      <xdr:colOff>19050</xdr:colOff>
      <xdr:row>9</xdr:row>
      <xdr:rowOff>85725</xdr:rowOff>
    </xdr:from>
    <xdr:ext cx="47625" cy="47625"/>
    <xdr:pic macro="[3]!DesignIconClicked">
      <xdr:nvPicPr>
        <xdr:cNvPr id="88" name="BEx5BJQWS6YWHH4ZMSUAMD641V6Y" descr="ZTMFMXCIQSECDX38ALEFHUB00" hidden="1">
          <a:extLst>
            <a:ext uri="{FF2B5EF4-FFF2-40B4-BE49-F238E27FC236}">
              <a16:creationId xmlns:a16="http://schemas.microsoft.com/office/drawing/2014/main" id="{7AC2BF79-C38A-45A4-9EB7-848DE55C6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4790" y="171640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9</xdr:row>
      <xdr:rowOff>85725</xdr:rowOff>
    </xdr:from>
    <xdr:ext cx="47625" cy="47625"/>
    <xdr:pic macro="[3]!DesignIconClicked">
      <xdr:nvPicPr>
        <xdr:cNvPr id="91" name="BExW9676P0SKCVKK25QCGHPA3PAD" descr="9A4PWZ20RMSRF0PNECCDM75CA" hidden="1">
          <a:extLst>
            <a:ext uri="{FF2B5EF4-FFF2-40B4-BE49-F238E27FC236}">
              <a16:creationId xmlns:a16="http://schemas.microsoft.com/office/drawing/2014/main" id="{8EBDC936-07B4-440B-90D7-40E3E33F7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05740" y="171640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4</xdr:col>
      <xdr:colOff>0</xdr:colOff>
      <xdr:row>10</xdr:row>
      <xdr:rowOff>0</xdr:rowOff>
    </xdr:from>
    <xdr:ext cx="123825" cy="123825"/>
    <xdr:pic macro="[3]!DesignIconClicked">
      <xdr:nvPicPr>
        <xdr:cNvPr id="92" name="BExW253QPOZK9KW8BJC3LBXGCG2N" descr="Y5HX37BEUWSN1NEFJKZJXI3SX" hidden="1">
          <a:extLst>
            <a:ext uri="{FF2B5EF4-FFF2-40B4-BE49-F238E27FC236}">
              <a16:creationId xmlns:a16="http://schemas.microsoft.com/office/drawing/2014/main" id="{A2BA9620-2585-4787-B7C1-4A197FE78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05740" y="17602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9</xdr:row>
      <xdr:rowOff>85725</xdr:rowOff>
    </xdr:from>
    <xdr:ext cx="47625" cy="47625"/>
    <xdr:pic macro="[3]!DesignIconClicked">
      <xdr:nvPicPr>
        <xdr:cNvPr id="93" name="BExMM0AVUAIRNJLXB1FW8R0YB4ZZ" hidden="1">
          <a:extLst>
            <a:ext uri="{FF2B5EF4-FFF2-40B4-BE49-F238E27FC236}">
              <a16:creationId xmlns:a16="http://schemas.microsoft.com/office/drawing/2014/main" id="{4895675B-ECFA-423E-87F7-483A39D63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05740" y="171640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9</xdr:row>
      <xdr:rowOff>85725</xdr:rowOff>
    </xdr:from>
    <xdr:ext cx="47625" cy="47625"/>
    <xdr:pic macro="[3]!DesignIconClicked">
      <xdr:nvPicPr>
        <xdr:cNvPr id="94" name="BExQ7SXS9VUG7P6CACU2J7R2SGIZ" hidden="1">
          <a:extLst>
            <a:ext uri="{FF2B5EF4-FFF2-40B4-BE49-F238E27FC236}">
              <a16:creationId xmlns:a16="http://schemas.microsoft.com/office/drawing/2014/main" id="{0F598833-C914-4A80-AC4E-221D77CE2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05740" y="171640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4</xdr:col>
      <xdr:colOff>19050</xdr:colOff>
      <xdr:row>9</xdr:row>
      <xdr:rowOff>85725</xdr:rowOff>
    </xdr:from>
    <xdr:ext cx="47625" cy="47625"/>
    <xdr:pic macro="[3]!DesignIconClicked">
      <xdr:nvPicPr>
        <xdr:cNvPr id="95" name="BExUBK0YZ5VYFY8TTITJGJU9S06A" hidden="1">
          <a:extLst>
            <a:ext uri="{FF2B5EF4-FFF2-40B4-BE49-F238E27FC236}">
              <a16:creationId xmlns:a16="http://schemas.microsoft.com/office/drawing/2014/main" id="{3399CE62-7476-4991-A124-AF5169650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4790" y="171640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4</xdr:col>
      <xdr:colOff>0</xdr:colOff>
      <xdr:row>10</xdr:row>
      <xdr:rowOff>0</xdr:rowOff>
    </xdr:from>
    <xdr:ext cx="123825" cy="123825"/>
    <xdr:pic macro="[3]!DesignIconClicked">
      <xdr:nvPicPr>
        <xdr:cNvPr id="96" name="BEx973S463FCQVJ7QDFBUIU0WJ3F" descr="ZQTVYL8DCSADVT0QMRXFLU0TR" hidden="1">
          <a:extLst>
            <a:ext uri="{FF2B5EF4-FFF2-40B4-BE49-F238E27FC236}">
              <a16:creationId xmlns:a16="http://schemas.microsoft.com/office/drawing/2014/main" id="{4C8B48A6-F1C3-413E-A074-D93D6A1A7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05740" y="17602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10</xdr:row>
      <xdr:rowOff>0</xdr:rowOff>
    </xdr:from>
    <xdr:ext cx="123825" cy="123825"/>
    <xdr:pic macro="[3]!DesignIconClicked">
      <xdr:nvPicPr>
        <xdr:cNvPr id="97" name="BExRZO0PLWWMCLGRH7EH6UXYWGAJ" descr="9D4GQ34QB727H10MA3SSAR2R9" hidden="1">
          <a:extLst>
            <a:ext uri="{FF2B5EF4-FFF2-40B4-BE49-F238E27FC236}">
              <a16:creationId xmlns:a16="http://schemas.microsoft.com/office/drawing/2014/main" id="{7EA6E7B3-6EDD-44CE-B9DC-8D57F71B4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5740" y="17602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10</xdr:row>
      <xdr:rowOff>0</xdr:rowOff>
    </xdr:from>
    <xdr:ext cx="123825" cy="123825"/>
    <xdr:pic macro="[3]!DesignIconClicked">
      <xdr:nvPicPr>
        <xdr:cNvPr id="98" name="BExBDP6HNAAJUM39SE5G2C8BKNRQ" descr="1TM64TL2QIMYV7WYSV2VLGXY4" hidden="1">
          <a:extLst>
            <a:ext uri="{FF2B5EF4-FFF2-40B4-BE49-F238E27FC236}">
              <a16:creationId xmlns:a16="http://schemas.microsoft.com/office/drawing/2014/main" id="{E0CDEB2B-CD90-4584-8460-EC51F74DE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5740" y="17602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10</xdr:row>
      <xdr:rowOff>0</xdr:rowOff>
    </xdr:from>
    <xdr:ext cx="123825" cy="123825"/>
    <xdr:pic macro="[3]!DesignIconClicked">
      <xdr:nvPicPr>
        <xdr:cNvPr id="99" name="BExQEGJP61DL2NZY6LMBHBZ0J5YT" descr="D6ZNRZJ7EX4GZT9RO8LE0C905" hidden="1">
          <a:extLst>
            <a:ext uri="{FF2B5EF4-FFF2-40B4-BE49-F238E27FC236}">
              <a16:creationId xmlns:a16="http://schemas.microsoft.com/office/drawing/2014/main" id="{E0E1BB17-5DDD-4895-B3BC-EA054DDA3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5740" y="17602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10</xdr:row>
      <xdr:rowOff>0</xdr:rowOff>
    </xdr:from>
    <xdr:ext cx="123825" cy="123825"/>
    <xdr:pic macro="[3]!DesignIconClicked">
      <xdr:nvPicPr>
        <xdr:cNvPr id="100" name="BExTY1BCS6HZIF6HI5491FGHDVAE" descr="MJ6976KI2UH1IE8M227DUYXMJ" hidden="1">
          <a:extLst>
            <a:ext uri="{FF2B5EF4-FFF2-40B4-BE49-F238E27FC236}">
              <a16:creationId xmlns:a16="http://schemas.microsoft.com/office/drawing/2014/main" id="{FD6848F2-4754-4C1F-B6AD-4E5A22242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5740" y="17602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10</xdr:row>
      <xdr:rowOff>0</xdr:rowOff>
    </xdr:from>
    <xdr:ext cx="123825" cy="123825"/>
    <xdr:pic macro="[3]!DesignIconClicked">
      <xdr:nvPicPr>
        <xdr:cNvPr id="101" name="BEx5FXJGJOT93D0J2IRJ3985IUMI" hidden="1">
          <a:extLst>
            <a:ext uri="{FF2B5EF4-FFF2-40B4-BE49-F238E27FC236}">
              <a16:creationId xmlns:a16="http://schemas.microsoft.com/office/drawing/2014/main" id="{E88ABCDD-F98F-43E2-BC44-B58BE2699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5740" y="17602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10</xdr:row>
      <xdr:rowOff>0</xdr:rowOff>
    </xdr:from>
    <xdr:ext cx="123825" cy="123825"/>
    <xdr:pic macro="[3]!DesignIconClicked">
      <xdr:nvPicPr>
        <xdr:cNvPr id="102" name="BEx3RTMHAR35NUAAK49TV6NU7EPA" descr="QFXLG4ZCXTRQSJYFCKJ58G9N8" hidden="1">
          <a:extLst>
            <a:ext uri="{FF2B5EF4-FFF2-40B4-BE49-F238E27FC236}">
              <a16:creationId xmlns:a16="http://schemas.microsoft.com/office/drawing/2014/main" id="{CC92C0D2-8ACD-4DBA-834A-8CA6C71A7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05740" y="17602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10</xdr:row>
      <xdr:rowOff>0</xdr:rowOff>
    </xdr:from>
    <xdr:ext cx="123825" cy="123825"/>
    <xdr:pic macro="[3]!DesignIconClicked">
      <xdr:nvPicPr>
        <xdr:cNvPr id="103" name="BExS8T38WLC2R738ZC7BDJQAKJAJ" descr="MRI962L5PB0E0YWXCIBN82VJH" hidden="1">
          <a:extLst>
            <a:ext uri="{FF2B5EF4-FFF2-40B4-BE49-F238E27FC236}">
              <a16:creationId xmlns:a16="http://schemas.microsoft.com/office/drawing/2014/main" id="{3AF37ADD-7F60-4075-ABFC-B55AC948B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5740" y="17602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10</xdr:row>
      <xdr:rowOff>0</xdr:rowOff>
    </xdr:from>
    <xdr:ext cx="123825" cy="123825"/>
    <xdr:pic macro="[3]!DesignIconClicked">
      <xdr:nvPicPr>
        <xdr:cNvPr id="104" name="BEx5F64BJ6DCM4EJH81D5ZFNPZ0V" descr="7DJ9FILZD2YPS6X1JBP9E76TU" hidden="1">
          <a:extLst>
            <a:ext uri="{FF2B5EF4-FFF2-40B4-BE49-F238E27FC236}">
              <a16:creationId xmlns:a16="http://schemas.microsoft.com/office/drawing/2014/main" id="{1B8AF6A2-3AB2-43DA-A47F-78C8BDB68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5740" y="17602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10</xdr:row>
      <xdr:rowOff>0</xdr:rowOff>
    </xdr:from>
    <xdr:ext cx="123825" cy="123825"/>
    <xdr:pic macro="[3]!DesignIconClicked">
      <xdr:nvPicPr>
        <xdr:cNvPr id="105" name="BExQEXXHA3EEXR44LT6RKCDWM6ZT" hidden="1">
          <a:extLst>
            <a:ext uri="{FF2B5EF4-FFF2-40B4-BE49-F238E27FC236}">
              <a16:creationId xmlns:a16="http://schemas.microsoft.com/office/drawing/2014/main" id="{E8F999C8-8062-4A5C-A6B9-03BDD7AD7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5740" y="17602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10</xdr:row>
      <xdr:rowOff>0</xdr:rowOff>
    </xdr:from>
    <xdr:ext cx="123825" cy="123825"/>
    <xdr:pic macro="[3]!DesignIconClicked">
      <xdr:nvPicPr>
        <xdr:cNvPr id="106" name="BEx1X6AMHV6ZK3UJB2BXIJTJHYJU" descr="OALR4L95ELQLZ1Y1LETHM1CS9" hidden="1">
          <a:extLst>
            <a:ext uri="{FF2B5EF4-FFF2-40B4-BE49-F238E27FC236}">
              <a16:creationId xmlns:a16="http://schemas.microsoft.com/office/drawing/2014/main" id="{002B8F86-E927-4BAC-B62D-B161601B4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05740" y="17602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10</xdr:row>
      <xdr:rowOff>0</xdr:rowOff>
    </xdr:from>
    <xdr:ext cx="123825" cy="123825"/>
    <xdr:pic macro="[3]!DesignIconClicked">
      <xdr:nvPicPr>
        <xdr:cNvPr id="107" name="BExSDIVCE09QKG3CT52PHCS6ZJ09" descr="9F076L7EQCF2COMMGCQG6BQGU" hidden="1">
          <a:extLst>
            <a:ext uri="{FF2B5EF4-FFF2-40B4-BE49-F238E27FC236}">
              <a16:creationId xmlns:a16="http://schemas.microsoft.com/office/drawing/2014/main" id="{2D35B5AE-D91D-41C2-B6BC-A6B62F1DF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05740" y="17602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10</xdr:row>
      <xdr:rowOff>0</xdr:rowOff>
    </xdr:from>
    <xdr:ext cx="123825" cy="123825"/>
    <xdr:pic macro="[3]!DesignIconClicked">
      <xdr:nvPicPr>
        <xdr:cNvPr id="108" name="BEx1QZGQZBAWJ8591VXEIPUOVS7X" descr="MEW27CPIFG44B7E7HEQUUF5QF" hidden="1">
          <a:extLst>
            <a:ext uri="{FF2B5EF4-FFF2-40B4-BE49-F238E27FC236}">
              <a16:creationId xmlns:a16="http://schemas.microsoft.com/office/drawing/2014/main" id="{2FA68D58-BC43-498C-8391-169A1B447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5740" y="17602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10</xdr:row>
      <xdr:rowOff>0</xdr:rowOff>
    </xdr:from>
    <xdr:ext cx="123825" cy="123825"/>
    <xdr:pic macro="[3]!DesignIconClicked">
      <xdr:nvPicPr>
        <xdr:cNvPr id="109" name="BExMF7LICJLPXSHM63A6EQ79YQKG" descr="U084VZL15IMB1OFRRAY6GVKAE" hidden="1">
          <a:extLst>
            <a:ext uri="{FF2B5EF4-FFF2-40B4-BE49-F238E27FC236}">
              <a16:creationId xmlns:a16="http://schemas.microsoft.com/office/drawing/2014/main" id="{E83E6B88-9925-443D-8EC8-89BD1E4AF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5740" y="17602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10</xdr:row>
      <xdr:rowOff>0</xdr:rowOff>
    </xdr:from>
    <xdr:ext cx="123825" cy="123825"/>
    <xdr:pic macro="[3]!DesignIconClicked">
      <xdr:nvPicPr>
        <xdr:cNvPr id="110" name="BExS343F8GCKP6HTF9Y97L133DX8" descr="ZRF0KB1IYQSNV63CTXT25G67G" hidden="1">
          <a:extLst>
            <a:ext uri="{FF2B5EF4-FFF2-40B4-BE49-F238E27FC236}">
              <a16:creationId xmlns:a16="http://schemas.microsoft.com/office/drawing/2014/main" id="{43E073C0-E1B9-4803-94B3-8AF795EC4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5740" y="17602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10</xdr:row>
      <xdr:rowOff>0</xdr:rowOff>
    </xdr:from>
    <xdr:ext cx="123825" cy="123825"/>
    <xdr:pic macro="[3]!DesignIconClicked">
      <xdr:nvPicPr>
        <xdr:cNvPr id="111" name="BExZMRC09W87CY4B73NPZMNH21AH" descr="78CUMI0OVLYJRSDRQ3V2YX812" hidden="1">
          <a:extLst>
            <a:ext uri="{FF2B5EF4-FFF2-40B4-BE49-F238E27FC236}">
              <a16:creationId xmlns:a16="http://schemas.microsoft.com/office/drawing/2014/main" id="{B4C036BB-B8E1-4F48-8F4F-378A7EF47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5740" y="17602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10</xdr:row>
      <xdr:rowOff>0</xdr:rowOff>
    </xdr:from>
    <xdr:ext cx="123825" cy="123825"/>
    <xdr:pic macro="[3]!DesignIconClicked">
      <xdr:nvPicPr>
        <xdr:cNvPr id="112" name="BExZXVFJ4DY4I24AARDT4AMP6EN1" descr="TXSMH2MTH86CYKA26740RQPUC" hidden="1">
          <a:extLst>
            <a:ext uri="{FF2B5EF4-FFF2-40B4-BE49-F238E27FC236}">
              <a16:creationId xmlns:a16="http://schemas.microsoft.com/office/drawing/2014/main" id="{12C6644C-9BB9-4FF3-89D3-1E78C42C8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5740" y="17602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10</xdr:row>
      <xdr:rowOff>0</xdr:rowOff>
    </xdr:from>
    <xdr:ext cx="123825" cy="123825"/>
    <xdr:pic macro="[3]!DesignIconClicked">
      <xdr:nvPicPr>
        <xdr:cNvPr id="113" name="BExOCUIOFQWUGTBU5ESTW3EYEP5C" descr="9BNF49V0R6VVYPHEVMJ3ABDQZ" hidden="1">
          <a:extLst>
            <a:ext uri="{FF2B5EF4-FFF2-40B4-BE49-F238E27FC236}">
              <a16:creationId xmlns:a16="http://schemas.microsoft.com/office/drawing/2014/main" id="{971348EB-C233-4F7A-886E-55CA36358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5740" y="17602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10</xdr:row>
      <xdr:rowOff>0</xdr:rowOff>
    </xdr:from>
    <xdr:ext cx="123825" cy="123825"/>
    <xdr:pic macro="[3]!DesignIconClicked">
      <xdr:nvPicPr>
        <xdr:cNvPr id="114" name="BExU65O9OE4B4MQ2A3OYH13M8BZJ" descr="3INNIMMPDBB0JF37L81M6ID21" hidden="1">
          <a:extLst>
            <a:ext uri="{FF2B5EF4-FFF2-40B4-BE49-F238E27FC236}">
              <a16:creationId xmlns:a16="http://schemas.microsoft.com/office/drawing/2014/main" id="{87F2842F-A0C9-4064-8859-AC8B66E98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5740" y="17602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10</xdr:row>
      <xdr:rowOff>0</xdr:rowOff>
    </xdr:from>
    <xdr:ext cx="123825" cy="123825"/>
    <xdr:pic macro="[3]!DesignIconClicked">
      <xdr:nvPicPr>
        <xdr:cNvPr id="115" name="BExOPRCR0UW7TKXSV5WDTL348FGL" descr="S9JM17GP1802LHN4GT14BJYIC" hidden="1">
          <a:extLst>
            <a:ext uri="{FF2B5EF4-FFF2-40B4-BE49-F238E27FC236}">
              <a16:creationId xmlns:a16="http://schemas.microsoft.com/office/drawing/2014/main" id="{01E1A528-ECDF-44D1-B063-FCBEE8E69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5740" y="17602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10</xdr:row>
      <xdr:rowOff>0</xdr:rowOff>
    </xdr:from>
    <xdr:ext cx="123825" cy="123825"/>
    <xdr:pic macro="[3]!DesignIconClicked">
      <xdr:nvPicPr>
        <xdr:cNvPr id="116" name="BEx5OESAY2W8SEGI3TSB65EHJ04B" descr="9CN2Y88X8WYV1HWZG1QILY9BK" hidden="1">
          <a:extLst>
            <a:ext uri="{FF2B5EF4-FFF2-40B4-BE49-F238E27FC236}">
              <a16:creationId xmlns:a16="http://schemas.microsoft.com/office/drawing/2014/main" id="{7831AC00-AE2F-49BE-B02B-6D096ECBF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5740" y="17602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0</xdr:colOff>
      <xdr:row>10</xdr:row>
      <xdr:rowOff>0</xdr:rowOff>
    </xdr:from>
    <xdr:ext cx="123825" cy="123825"/>
    <xdr:pic macro="[3]!DesignIconClicked">
      <xdr:nvPicPr>
        <xdr:cNvPr id="117" name="BExGMWEQ2BYRY9BAO5T1X850MJN1" descr="AZ9ST0XDIOP50HSUFO5V31BR0" hidden="1">
          <a:extLst>
            <a:ext uri="{FF2B5EF4-FFF2-40B4-BE49-F238E27FC236}">
              <a16:creationId xmlns:a16="http://schemas.microsoft.com/office/drawing/2014/main" id="{D1E1E6BD-540E-485D-A620-709960905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5740" y="17602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28575</xdr:colOff>
      <xdr:row>10</xdr:row>
      <xdr:rowOff>0</xdr:rowOff>
    </xdr:from>
    <xdr:ext cx="123825" cy="123825"/>
    <xdr:pic macro="[3]!DesignIconClicked">
      <xdr:nvPicPr>
        <xdr:cNvPr id="118" name="BExW253QPOZK9KW8BJC3LBXGCG2N" descr="Y5HX37BEUWSN1NEFJKZJXI3SX" hidden="1">
          <a:extLst>
            <a:ext uri="{FF2B5EF4-FFF2-40B4-BE49-F238E27FC236}">
              <a16:creationId xmlns:a16="http://schemas.microsoft.com/office/drawing/2014/main" id="{71F88D4E-CD59-454E-99AA-98A51A575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34315" y="17602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47625</xdr:colOff>
      <xdr:row>10</xdr:row>
      <xdr:rowOff>0</xdr:rowOff>
    </xdr:from>
    <xdr:ext cx="123825" cy="123825"/>
    <xdr:pic macro="[3]!DesignIconClicked">
      <xdr:nvPicPr>
        <xdr:cNvPr id="119" name="BEx973S463FCQVJ7QDFBUIU0WJ3F" descr="ZQTVYL8DCSADVT0QMRXFLU0TR" hidden="1">
          <a:extLst>
            <a:ext uri="{FF2B5EF4-FFF2-40B4-BE49-F238E27FC236}">
              <a16:creationId xmlns:a16="http://schemas.microsoft.com/office/drawing/2014/main" id="{37E8EE46-16AB-4C5A-8557-DF90A7842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53365" y="17602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85725</xdr:colOff>
      <xdr:row>10</xdr:row>
      <xdr:rowOff>0</xdr:rowOff>
    </xdr:from>
    <xdr:ext cx="123825" cy="123825"/>
    <xdr:pic macro="[3]!DesignIconClicked">
      <xdr:nvPicPr>
        <xdr:cNvPr id="120" name="BExRZO0PLWWMCLGRH7EH6UXYWGAJ" descr="9D4GQ34QB727H10MA3SSAR2R9" hidden="1">
          <a:extLst>
            <a:ext uri="{FF2B5EF4-FFF2-40B4-BE49-F238E27FC236}">
              <a16:creationId xmlns:a16="http://schemas.microsoft.com/office/drawing/2014/main" id="{B187D1A0-C752-4658-A63B-65B87710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91465" y="17602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47625</xdr:colOff>
      <xdr:row>10</xdr:row>
      <xdr:rowOff>0</xdr:rowOff>
    </xdr:from>
    <xdr:ext cx="123825" cy="123825"/>
    <xdr:pic macro="[3]!DesignIconClicked">
      <xdr:nvPicPr>
        <xdr:cNvPr id="121" name="BExBDP6HNAAJUM39SE5G2C8BKNRQ" descr="1TM64TL2QIMYV7WYSV2VLGXY4" hidden="1">
          <a:extLst>
            <a:ext uri="{FF2B5EF4-FFF2-40B4-BE49-F238E27FC236}">
              <a16:creationId xmlns:a16="http://schemas.microsoft.com/office/drawing/2014/main" id="{D093F0C2-CDB0-4F50-9B69-103096D58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53365" y="17602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47625</xdr:colOff>
      <xdr:row>10</xdr:row>
      <xdr:rowOff>0</xdr:rowOff>
    </xdr:from>
    <xdr:ext cx="123825" cy="123825"/>
    <xdr:pic macro="[3]!DesignIconClicked">
      <xdr:nvPicPr>
        <xdr:cNvPr id="122" name="BExQEGJP61DL2NZY6LMBHBZ0J5YT" descr="D6ZNRZJ7EX4GZT9RO8LE0C905" hidden="1">
          <a:extLst>
            <a:ext uri="{FF2B5EF4-FFF2-40B4-BE49-F238E27FC236}">
              <a16:creationId xmlns:a16="http://schemas.microsoft.com/office/drawing/2014/main" id="{7209B562-E9A9-4D98-AA2A-FC31CBA9A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53365" y="17602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47625</xdr:colOff>
      <xdr:row>10</xdr:row>
      <xdr:rowOff>0</xdr:rowOff>
    </xdr:from>
    <xdr:ext cx="123825" cy="123825"/>
    <xdr:pic macro="[3]!DesignIconClicked">
      <xdr:nvPicPr>
        <xdr:cNvPr id="123" name="BExTY1BCS6HZIF6HI5491FGHDVAE" descr="MJ6976KI2UH1IE8M227DUYXMJ" hidden="1">
          <a:extLst>
            <a:ext uri="{FF2B5EF4-FFF2-40B4-BE49-F238E27FC236}">
              <a16:creationId xmlns:a16="http://schemas.microsoft.com/office/drawing/2014/main" id="{866C5AF4-AB56-468F-8A62-727A6E3A5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53365" y="17602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47625</xdr:colOff>
      <xdr:row>10</xdr:row>
      <xdr:rowOff>0</xdr:rowOff>
    </xdr:from>
    <xdr:ext cx="123825" cy="123825"/>
    <xdr:pic macro="[3]!DesignIconClicked">
      <xdr:nvPicPr>
        <xdr:cNvPr id="124" name="BEx5FXJGJOT93D0J2IRJ3985IUMI" hidden="1">
          <a:extLst>
            <a:ext uri="{FF2B5EF4-FFF2-40B4-BE49-F238E27FC236}">
              <a16:creationId xmlns:a16="http://schemas.microsoft.com/office/drawing/2014/main" id="{47F0E477-EE99-4ADC-8914-FC36A2B88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53365" y="17602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9525</xdr:colOff>
      <xdr:row>10</xdr:row>
      <xdr:rowOff>0</xdr:rowOff>
    </xdr:from>
    <xdr:ext cx="123825" cy="123825"/>
    <xdr:pic macro="[3]!DesignIconClicked">
      <xdr:nvPicPr>
        <xdr:cNvPr id="125" name="BEx3RTMHAR35NUAAK49TV6NU7EPA" descr="QFXLG4ZCXTRQSJYFCKJ58G9N8" hidden="1">
          <a:extLst>
            <a:ext uri="{FF2B5EF4-FFF2-40B4-BE49-F238E27FC236}">
              <a16:creationId xmlns:a16="http://schemas.microsoft.com/office/drawing/2014/main" id="{7435FBD3-96E0-4244-B1C9-0FFAB2111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5265" y="17602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85725</xdr:colOff>
      <xdr:row>10</xdr:row>
      <xdr:rowOff>0</xdr:rowOff>
    </xdr:from>
    <xdr:ext cx="123825" cy="123825"/>
    <xdr:pic macro="[3]!DesignIconClicked">
      <xdr:nvPicPr>
        <xdr:cNvPr id="126" name="BExS8T38WLC2R738ZC7BDJQAKJAJ" descr="MRI962L5PB0E0YWXCIBN82VJH" hidden="1">
          <a:extLst>
            <a:ext uri="{FF2B5EF4-FFF2-40B4-BE49-F238E27FC236}">
              <a16:creationId xmlns:a16="http://schemas.microsoft.com/office/drawing/2014/main" id="{7E59BE24-5F72-449D-9D4D-638955D3D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91465" y="17602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47625</xdr:colOff>
      <xdr:row>10</xdr:row>
      <xdr:rowOff>0</xdr:rowOff>
    </xdr:from>
    <xdr:ext cx="123825" cy="123825"/>
    <xdr:pic macro="[3]!DesignIconClicked">
      <xdr:nvPicPr>
        <xdr:cNvPr id="127" name="BEx5F64BJ6DCM4EJH81D5ZFNPZ0V" descr="7DJ9FILZD2YPS6X1JBP9E76TU" hidden="1">
          <a:extLst>
            <a:ext uri="{FF2B5EF4-FFF2-40B4-BE49-F238E27FC236}">
              <a16:creationId xmlns:a16="http://schemas.microsoft.com/office/drawing/2014/main" id="{E622A2E1-B925-458F-861E-6A680BF4E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53365" y="17602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47625</xdr:colOff>
      <xdr:row>10</xdr:row>
      <xdr:rowOff>0</xdr:rowOff>
    </xdr:from>
    <xdr:ext cx="123825" cy="123825"/>
    <xdr:pic macro="[3]!DesignIconClicked">
      <xdr:nvPicPr>
        <xdr:cNvPr id="128" name="BExQEXXHA3EEXR44LT6RKCDWM6ZT" hidden="1">
          <a:extLst>
            <a:ext uri="{FF2B5EF4-FFF2-40B4-BE49-F238E27FC236}">
              <a16:creationId xmlns:a16="http://schemas.microsoft.com/office/drawing/2014/main" id="{661E8AE1-8E31-4859-9C43-B4B774081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53365" y="17602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85725</xdr:colOff>
      <xdr:row>10</xdr:row>
      <xdr:rowOff>0</xdr:rowOff>
    </xdr:from>
    <xdr:ext cx="123825" cy="123825"/>
    <xdr:pic macro="[3]!DesignIconClicked">
      <xdr:nvPicPr>
        <xdr:cNvPr id="129" name="BEx1X6AMHV6ZK3UJB2BXIJTJHYJU" descr="OALR4L95ELQLZ1Y1LETHM1CS9" hidden="1">
          <a:extLst>
            <a:ext uri="{FF2B5EF4-FFF2-40B4-BE49-F238E27FC236}">
              <a16:creationId xmlns:a16="http://schemas.microsoft.com/office/drawing/2014/main" id="{89BE3306-14B3-4446-8244-63C8A6713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91465" y="17602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9525</xdr:colOff>
      <xdr:row>10</xdr:row>
      <xdr:rowOff>0</xdr:rowOff>
    </xdr:from>
    <xdr:ext cx="123825" cy="123825"/>
    <xdr:pic macro="[3]!DesignIconClicked">
      <xdr:nvPicPr>
        <xdr:cNvPr id="130" name="BExSDIVCE09QKG3CT52PHCS6ZJ09" descr="9F076L7EQCF2COMMGCQG6BQGU" hidden="1">
          <a:extLst>
            <a:ext uri="{FF2B5EF4-FFF2-40B4-BE49-F238E27FC236}">
              <a16:creationId xmlns:a16="http://schemas.microsoft.com/office/drawing/2014/main" id="{45641A0E-D264-496B-8BC8-8C14D4C7C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5265" y="17602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47625</xdr:colOff>
      <xdr:row>10</xdr:row>
      <xdr:rowOff>0</xdr:rowOff>
    </xdr:from>
    <xdr:ext cx="123825" cy="123825"/>
    <xdr:pic macro="[3]!DesignIconClicked">
      <xdr:nvPicPr>
        <xdr:cNvPr id="131" name="BEx1QZGQZBAWJ8591VXEIPUOVS7X" descr="MEW27CPIFG44B7E7HEQUUF5QF" hidden="1">
          <a:extLst>
            <a:ext uri="{FF2B5EF4-FFF2-40B4-BE49-F238E27FC236}">
              <a16:creationId xmlns:a16="http://schemas.microsoft.com/office/drawing/2014/main" id="{AB634B19-AFE2-40AE-909B-5A6C40CF7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53365" y="17602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47625</xdr:colOff>
      <xdr:row>10</xdr:row>
      <xdr:rowOff>0</xdr:rowOff>
    </xdr:from>
    <xdr:ext cx="123825" cy="123825"/>
    <xdr:pic macro="[3]!DesignIconClicked">
      <xdr:nvPicPr>
        <xdr:cNvPr id="132" name="BExMF7LICJLPXSHM63A6EQ79YQKG" descr="U084VZL15IMB1OFRRAY6GVKAE" hidden="1">
          <a:extLst>
            <a:ext uri="{FF2B5EF4-FFF2-40B4-BE49-F238E27FC236}">
              <a16:creationId xmlns:a16="http://schemas.microsoft.com/office/drawing/2014/main" id="{C2AB27AF-CAF7-4879-8E74-D1B4697F1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53365" y="17602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47625</xdr:colOff>
      <xdr:row>10</xdr:row>
      <xdr:rowOff>0</xdr:rowOff>
    </xdr:from>
    <xdr:ext cx="123825" cy="123825"/>
    <xdr:pic macro="[3]!DesignIconClicked">
      <xdr:nvPicPr>
        <xdr:cNvPr id="133" name="BExS343F8GCKP6HTF9Y97L133DX8" descr="ZRF0KB1IYQSNV63CTXT25G67G" hidden="1">
          <a:extLst>
            <a:ext uri="{FF2B5EF4-FFF2-40B4-BE49-F238E27FC236}">
              <a16:creationId xmlns:a16="http://schemas.microsoft.com/office/drawing/2014/main" id="{EAA66CD0-BE64-47E5-B203-037DAC55B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53365" y="17602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47625</xdr:colOff>
      <xdr:row>10</xdr:row>
      <xdr:rowOff>0</xdr:rowOff>
    </xdr:from>
    <xdr:ext cx="123825" cy="123825"/>
    <xdr:pic macro="[3]!DesignIconClicked">
      <xdr:nvPicPr>
        <xdr:cNvPr id="134" name="BExZMRC09W87CY4B73NPZMNH21AH" descr="78CUMI0OVLYJRSDRQ3V2YX812" hidden="1">
          <a:extLst>
            <a:ext uri="{FF2B5EF4-FFF2-40B4-BE49-F238E27FC236}">
              <a16:creationId xmlns:a16="http://schemas.microsoft.com/office/drawing/2014/main" id="{8A1789AF-48C6-455C-9BFF-82D61CF4E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53365" y="17602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47625</xdr:colOff>
      <xdr:row>10</xdr:row>
      <xdr:rowOff>0</xdr:rowOff>
    </xdr:from>
    <xdr:ext cx="123825" cy="123825"/>
    <xdr:pic macro="[3]!DesignIconClicked">
      <xdr:nvPicPr>
        <xdr:cNvPr id="135" name="BExZXVFJ4DY4I24AARDT4AMP6EN1" descr="TXSMH2MTH86CYKA26740RQPUC" hidden="1">
          <a:extLst>
            <a:ext uri="{FF2B5EF4-FFF2-40B4-BE49-F238E27FC236}">
              <a16:creationId xmlns:a16="http://schemas.microsoft.com/office/drawing/2014/main" id="{7356AE6E-FC38-4D29-BEE0-8502AFF5A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53365" y="17602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47625</xdr:colOff>
      <xdr:row>10</xdr:row>
      <xdr:rowOff>0</xdr:rowOff>
    </xdr:from>
    <xdr:ext cx="123825" cy="123825"/>
    <xdr:pic macro="[3]!DesignIconClicked">
      <xdr:nvPicPr>
        <xdr:cNvPr id="136" name="BExOCUIOFQWUGTBU5ESTW3EYEP5C" descr="9BNF49V0R6VVYPHEVMJ3ABDQZ" hidden="1">
          <a:extLst>
            <a:ext uri="{FF2B5EF4-FFF2-40B4-BE49-F238E27FC236}">
              <a16:creationId xmlns:a16="http://schemas.microsoft.com/office/drawing/2014/main" id="{F92CA10A-C888-4BED-96C1-61BBA4635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53365" y="17602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47625</xdr:colOff>
      <xdr:row>10</xdr:row>
      <xdr:rowOff>0</xdr:rowOff>
    </xdr:from>
    <xdr:ext cx="123825" cy="123825"/>
    <xdr:pic macro="[3]!DesignIconClicked">
      <xdr:nvPicPr>
        <xdr:cNvPr id="137" name="BExU65O9OE4B4MQ2A3OYH13M8BZJ" descr="3INNIMMPDBB0JF37L81M6ID21" hidden="1">
          <a:extLst>
            <a:ext uri="{FF2B5EF4-FFF2-40B4-BE49-F238E27FC236}">
              <a16:creationId xmlns:a16="http://schemas.microsoft.com/office/drawing/2014/main" id="{87F80CA4-56F0-40CE-B651-061629900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53365" y="17602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47625</xdr:colOff>
      <xdr:row>10</xdr:row>
      <xdr:rowOff>0</xdr:rowOff>
    </xdr:from>
    <xdr:ext cx="123825" cy="123825"/>
    <xdr:pic macro="[3]!DesignIconClicked">
      <xdr:nvPicPr>
        <xdr:cNvPr id="138" name="BExOPRCR0UW7TKXSV5WDTL348FGL" descr="S9JM17GP1802LHN4GT14BJYIC" hidden="1">
          <a:extLst>
            <a:ext uri="{FF2B5EF4-FFF2-40B4-BE49-F238E27FC236}">
              <a16:creationId xmlns:a16="http://schemas.microsoft.com/office/drawing/2014/main" id="{0D7A44B8-CDA5-4C18-827C-AF82C06C4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53365" y="17602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47625</xdr:colOff>
      <xdr:row>10</xdr:row>
      <xdr:rowOff>0</xdr:rowOff>
    </xdr:from>
    <xdr:ext cx="123825" cy="123825"/>
    <xdr:pic macro="[3]!DesignIconClicked">
      <xdr:nvPicPr>
        <xdr:cNvPr id="139" name="BEx5OESAY2W8SEGI3TSB65EHJ04B" descr="9CN2Y88X8WYV1HWZG1QILY9BK" hidden="1">
          <a:extLst>
            <a:ext uri="{FF2B5EF4-FFF2-40B4-BE49-F238E27FC236}">
              <a16:creationId xmlns:a16="http://schemas.microsoft.com/office/drawing/2014/main" id="{9A30E8A7-FA51-48DA-81D9-066A61F2D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53365" y="17602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4</xdr:col>
      <xdr:colOff>47625</xdr:colOff>
      <xdr:row>10</xdr:row>
      <xdr:rowOff>0</xdr:rowOff>
    </xdr:from>
    <xdr:ext cx="123825" cy="123825"/>
    <xdr:pic macro="[3]!DesignIconClicked">
      <xdr:nvPicPr>
        <xdr:cNvPr id="140" name="BExGMWEQ2BYRY9BAO5T1X850MJN1" descr="AZ9ST0XDIOP50HSUFO5V31BR0" hidden="1">
          <a:extLst>
            <a:ext uri="{FF2B5EF4-FFF2-40B4-BE49-F238E27FC236}">
              <a16:creationId xmlns:a16="http://schemas.microsoft.com/office/drawing/2014/main" id="{F2DEB021-364B-4325-9D6E-3F39816D7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53365" y="176022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pon&#237;vel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rrigida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Program%20Files%20(x86)/Common%20Files/SAP%20Shared/BW/BExAnalyzer.xla" TargetMode="External"/><Relationship Id="rId1" Type="http://schemas.openxmlformats.org/officeDocument/2006/relationships/externalLinkPath" Target="/Program%20Files%20(x86)/Common%20Files/SAP%20Shared/BW/BExAnalyzer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ponível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igida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Ex"/>
      <sheetName val="BExStyles"/>
      <sheetName val="BExAnalyzer"/>
    </sheetNames>
    <definedNames>
      <definedName name="DesignIconClicked"/>
    </defined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40"/>
  <sheetViews>
    <sheetView workbookViewId="0"/>
  </sheetViews>
  <sheetFormatPr defaultColWidth="9.28515625" defaultRowHeight="10.199999999999999" x14ac:dyDescent="0.2"/>
  <cols>
    <col min="3" max="4" width="0" hidden="1" customWidth="1"/>
  </cols>
  <sheetData>
    <row r="1" spans="1:1" x14ac:dyDescent="0.2">
      <c r="A1">
        <v>7</v>
      </c>
    </row>
    <row r="18" spans="3:4" x14ac:dyDescent="0.2">
      <c r="C18" s="9"/>
      <c r="D18" s="9"/>
    </row>
    <row r="19" spans="3:4" x14ac:dyDescent="0.2">
      <c r="C19" s="9"/>
      <c r="D19" s="9"/>
    </row>
    <row r="20" spans="3:4" x14ac:dyDescent="0.2">
      <c r="C20" s="7"/>
      <c r="D20" s="7"/>
    </row>
    <row r="21" spans="3:4" x14ac:dyDescent="0.2">
      <c r="C21" s="7"/>
      <c r="D21" s="7"/>
    </row>
    <row r="22" spans="3:4" x14ac:dyDescent="0.2">
      <c r="C22" s="7"/>
      <c r="D22" s="7"/>
    </row>
    <row r="23" spans="3:4" x14ac:dyDescent="0.2">
      <c r="C23" s="7"/>
      <c r="D23" s="7"/>
    </row>
    <row r="24" spans="3:4" x14ac:dyDescent="0.2">
      <c r="C24" s="7"/>
      <c r="D24" s="7"/>
    </row>
    <row r="25" spans="3:4" x14ac:dyDescent="0.2">
      <c r="C25" s="7"/>
      <c r="D25" s="7"/>
    </row>
    <row r="26" spans="3:4" x14ac:dyDescent="0.2">
      <c r="C26" s="7"/>
      <c r="D26" s="7"/>
    </row>
    <row r="27" spans="3:4" x14ac:dyDescent="0.2">
      <c r="C27" s="7"/>
      <c r="D27" s="7"/>
    </row>
    <row r="28" spans="3:4" x14ac:dyDescent="0.2">
      <c r="C28" s="7"/>
      <c r="D28" s="7"/>
    </row>
    <row r="29" spans="3:4" x14ac:dyDescent="0.2">
      <c r="C29" s="7"/>
      <c r="D29" s="7"/>
    </row>
    <row r="30" spans="3:4" x14ac:dyDescent="0.2">
      <c r="C30" s="7"/>
      <c r="D30" s="7"/>
    </row>
    <row r="31" spans="3:4" x14ac:dyDescent="0.2">
      <c r="C31" s="7"/>
      <c r="D31" s="7"/>
    </row>
    <row r="32" spans="3:4" x14ac:dyDescent="0.2">
      <c r="C32" s="7"/>
      <c r="D32" s="7"/>
    </row>
    <row r="33" spans="3:4" x14ac:dyDescent="0.2">
      <c r="C33" s="7"/>
      <c r="D33" s="7"/>
    </row>
    <row r="34" spans="3:4" x14ac:dyDescent="0.2">
      <c r="C34" s="7"/>
      <c r="D34" s="7"/>
    </row>
    <row r="35" spans="3:4" x14ac:dyDescent="0.2">
      <c r="C35" s="7"/>
      <c r="D35" s="7"/>
    </row>
    <row r="36" spans="3:4" x14ac:dyDescent="0.2">
      <c r="C36" s="7"/>
      <c r="D36" s="7"/>
    </row>
    <row r="37" spans="3:4" x14ac:dyDescent="0.2">
      <c r="C37" s="7"/>
      <c r="D37" s="7"/>
    </row>
    <row r="38" spans="3:4" x14ac:dyDescent="0.2">
      <c r="C38" s="7"/>
      <c r="D38" s="7"/>
    </row>
    <row r="39" spans="3:4" x14ac:dyDescent="0.2">
      <c r="C39" s="7"/>
      <c r="D39" s="7"/>
    </row>
    <row r="40" spans="3:4" x14ac:dyDescent="0.2">
      <c r="C40" s="8"/>
      <c r="D40" s="8"/>
    </row>
  </sheetData>
  <phoneticPr fontId="1" type="noConversion"/>
  <pageMargins left="0.75" right="0.75" top="1" bottom="1" header="0.5" footer="0.5"/>
  <pageSetup paperSize="9" orientation="portrait" r:id="rId1"/>
  <headerFooter alignWithMargins="0">
    <oddFooter>&amp;LProduzido por SIGDN, pelo utilizador 07179505 na máquina AM-PC-027 em 21-04-2017 10:04:45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autoPageBreaks="0" fitToPage="1"/>
  </sheetPr>
  <dimension ref="A1:V74"/>
  <sheetViews>
    <sheetView showGridLines="0" tabSelected="1" topLeftCell="H1" workbookViewId="0">
      <selection activeCell="W22" sqref="W22"/>
    </sheetView>
  </sheetViews>
  <sheetFormatPr defaultColWidth="9.28515625" defaultRowHeight="10.199999999999999" x14ac:dyDescent="0.2"/>
  <cols>
    <col min="1" max="2" width="0.7109375" customWidth="1"/>
    <col min="3" max="3" width="2.42578125" customWidth="1"/>
    <col min="4" max="4" width="55" customWidth="1"/>
    <col min="5" max="5" width="23.85546875" customWidth="1"/>
    <col min="6" max="6" width="52.28515625" customWidth="1"/>
    <col min="7" max="7" width="46" customWidth="1"/>
    <col min="8" max="8" width="47" customWidth="1"/>
    <col min="9" max="9" width="18" customWidth="1"/>
    <col min="10" max="10" width="48.7109375" customWidth="1"/>
    <col min="11" max="11" width="16" customWidth="1"/>
    <col min="12" max="12" width="16.7109375" customWidth="1"/>
    <col min="13" max="17" width="5.7109375" customWidth="1"/>
    <col min="18" max="22" width="6.42578125" customWidth="1"/>
    <col min="23" max="23" width="17.85546875" customWidth="1"/>
    <col min="24" max="24" width="16.7109375" bestFit="1" customWidth="1"/>
    <col min="25" max="25" width="19.42578125" customWidth="1"/>
    <col min="26" max="26" width="17.85546875" bestFit="1" customWidth="1"/>
    <col min="27" max="27" width="14.42578125" customWidth="1"/>
    <col min="28" max="28" width="19.42578125" customWidth="1"/>
    <col min="29" max="29" width="14.42578125" customWidth="1"/>
    <col min="30" max="30" width="19.42578125" customWidth="1"/>
    <col min="31" max="31" width="17.85546875" customWidth="1"/>
    <col min="32" max="32" width="14.42578125" customWidth="1"/>
    <col min="33" max="33" width="19.42578125" customWidth="1"/>
    <col min="34" max="34" width="16.7109375" bestFit="1" customWidth="1"/>
    <col min="35" max="35" width="17.85546875" customWidth="1"/>
    <col min="36" max="36" width="14.42578125" customWidth="1"/>
    <col min="37" max="37" width="19.42578125" customWidth="1"/>
    <col min="38" max="38" width="16.7109375" bestFit="1" customWidth="1"/>
    <col min="39" max="39" width="17.85546875" customWidth="1"/>
    <col min="40" max="40" width="14.42578125" customWidth="1"/>
    <col min="41" max="41" width="19.42578125" customWidth="1"/>
    <col min="42" max="42" width="16.7109375" bestFit="1" customWidth="1"/>
    <col min="43" max="43" width="17.85546875" customWidth="1"/>
    <col min="44" max="44" width="14.42578125" customWidth="1"/>
    <col min="45" max="45" width="19.42578125" customWidth="1"/>
    <col min="46" max="46" width="16.7109375" bestFit="1" customWidth="1"/>
    <col min="47" max="47" width="17.85546875" customWidth="1"/>
    <col min="48" max="48" width="14.42578125" customWidth="1"/>
    <col min="49" max="49" width="19.42578125" bestFit="1" customWidth="1"/>
    <col min="50" max="50" width="16.7109375" bestFit="1" customWidth="1"/>
    <col min="51" max="51" width="17.85546875" customWidth="1"/>
    <col min="52" max="52" width="14.42578125" customWidth="1"/>
    <col min="53" max="53" width="19.42578125" customWidth="1"/>
    <col min="54" max="54" width="16.7109375" bestFit="1" customWidth="1"/>
    <col min="55" max="55" width="17.85546875" customWidth="1"/>
    <col min="56" max="56" width="19.42578125" bestFit="1" customWidth="1"/>
    <col min="57" max="57" width="17.85546875" customWidth="1"/>
    <col min="58" max="58" width="17.85546875" bestFit="1" customWidth="1"/>
    <col min="59" max="59" width="17.85546875" customWidth="1"/>
    <col min="60" max="60" width="15.85546875" bestFit="1" customWidth="1"/>
    <col min="61" max="61" width="18.7109375" customWidth="1"/>
    <col min="62" max="62" width="15.85546875" bestFit="1" customWidth="1"/>
    <col min="63" max="63" width="18.7109375" bestFit="1" customWidth="1"/>
    <col min="64" max="64" width="15.85546875" bestFit="1" customWidth="1"/>
    <col min="65" max="65" width="18.7109375" bestFit="1" customWidth="1"/>
    <col min="66" max="66" width="15.85546875" bestFit="1" customWidth="1"/>
    <col min="67" max="67" width="18.7109375" customWidth="1"/>
    <col min="68" max="68" width="15.85546875" bestFit="1" customWidth="1"/>
    <col min="69" max="69" width="19.42578125" bestFit="1" customWidth="1"/>
    <col min="70" max="70" width="15.85546875" bestFit="1" customWidth="1"/>
    <col min="71" max="71" width="18.7109375" customWidth="1"/>
    <col min="72" max="72" width="15.85546875" bestFit="1" customWidth="1"/>
    <col min="73" max="73" width="18.7109375" bestFit="1" customWidth="1"/>
    <col min="74" max="74" width="15.85546875" bestFit="1" customWidth="1"/>
    <col min="75" max="75" width="18.7109375" customWidth="1"/>
    <col min="76" max="76" width="15.85546875" bestFit="1" customWidth="1"/>
    <col min="77" max="77" width="18.7109375" bestFit="1" customWidth="1"/>
    <col min="78" max="78" width="15.85546875" bestFit="1" customWidth="1"/>
    <col min="79" max="79" width="19.42578125" bestFit="1" customWidth="1"/>
    <col min="80" max="80" width="15.85546875" bestFit="1" customWidth="1"/>
    <col min="81" max="81" width="18.7109375" bestFit="1" customWidth="1"/>
    <col min="82" max="82" width="15.85546875" bestFit="1" customWidth="1"/>
    <col min="83" max="83" width="18.7109375" bestFit="1" customWidth="1"/>
    <col min="84" max="84" width="15.85546875" bestFit="1" customWidth="1"/>
    <col min="85" max="85" width="18.7109375" bestFit="1" customWidth="1"/>
    <col min="86" max="86" width="15.85546875" bestFit="1" customWidth="1"/>
    <col min="87" max="87" width="18.7109375" bestFit="1" customWidth="1"/>
    <col min="88" max="88" width="15.85546875" bestFit="1" customWidth="1"/>
    <col min="89" max="89" width="19.42578125" bestFit="1" customWidth="1"/>
    <col min="90" max="90" width="15.85546875" bestFit="1" customWidth="1"/>
    <col min="91" max="91" width="18.7109375" bestFit="1" customWidth="1"/>
    <col min="92" max="92" width="15.85546875" bestFit="1" customWidth="1"/>
    <col min="93" max="93" width="18.7109375" bestFit="1" customWidth="1"/>
    <col min="94" max="94" width="15.85546875" bestFit="1" customWidth="1"/>
    <col min="95" max="95" width="18.7109375" bestFit="1" customWidth="1"/>
    <col min="96" max="96" width="15.85546875" bestFit="1" customWidth="1"/>
    <col min="97" max="97" width="18.7109375" bestFit="1" customWidth="1"/>
    <col min="98" max="98" width="15.85546875" bestFit="1" customWidth="1"/>
    <col min="99" max="99" width="19.42578125" bestFit="1" customWidth="1"/>
    <col min="100" max="100" width="15.85546875" bestFit="1" customWidth="1"/>
    <col min="101" max="101" width="18.7109375" bestFit="1" customWidth="1"/>
    <col min="102" max="102" width="15.85546875" bestFit="1" customWidth="1"/>
    <col min="103" max="103" width="18.7109375" bestFit="1" customWidth="1"/>
    <col min="104" max="104" width="15.85546875" bestFit="1" customWidth="1"/>
    <col min="105" max="105" width="19.42578125" bestFit="1" customWidth="1"/>
    <col min="106" max="106" width="15.85546875" bestFit="1" customWidth="1"/>
    <col min="107" max="107" width="18.7109375" bestFit="1" customWidth="1"/>
    <col min="108" max="108" width="15.85546875" bestFit="1" customWidth="1"/>
    <col min="109" max="109" width="19.42578125" bestFit="1" customWidth="1"/>
    <col min="110" max="110" width="15.85546875" bestFit="1" customWidth="1"/>
    <col min="111" max="111" width="18.7109375" bestFit="1" customWidth="1"/>
    <col min="112" max="112" width="15.85546875" bestFit="1" customWidth="1"/>
    <col min="113" max="113" width="19.42578125" bestFit="1" customWidth="1"/>
    <col min="114" max="114" width="15.85546875" bestFit="1" customWidth="1"/>
    <col min="115" max="115" width="18.7109375" bestFit="1" customWidth="1"/>
    <col min="116" max="116" width="15.85546875" bestFit="1" customWidth="1"/>
    <col min="117" max="117" width="19.42578125" bestFit="1" customWidth="1"/>
    <col min="118" max="118" width="15.85546875" bestFit="1" customWidth="1"/>
    <col min="119" max="119" width="18.7109375" bestFit="1" customWidth="1"/>
    <col min="120" max="120" width="15.85546875" bestFit="1" customWidth="1"/>
    <col min="121" max="121" width="19.42578125" bestFit="1" customWidth="1"/>
    <col min="122" max="122" width="15.85546875" bestFit="1" customWidth="1"/>
    <col min="123" max="123" width="18.7109375" bestFit="1" customWidth="1"/>
    <col min="124" max="124" width="15.85546875" bestFit="1" customWidth="1"/>
    <col min="125" max="125" width="18.7109375" bestFit="1" customWidth="1"/>
    <col min="126" max="126" width="15.85546875" bestFit="1" customWidth="1"/>
  </cols>
  <sheetData>
    <row r="1" spans="1:22" ht="21.75" customHeight="1" x14ac:dyDescent="0.2"/>
    <row r="2" spans="1:22" ht="41.25" customHeight="1" x14ac:dyDescent="0.2">
      <c r="B2" s="12" t="s">
        <v>0</v>
      </c>
    </row>
    <row r="3" spans="1:22" s="2" customFormat="1" ht="21" customHeight="1" x14ac:dyDescent="0.2">
      <c r="A3" s="4" t="s">
        <v>8</v>
      </c>
      <c r="D3" s="3"/>
      <c r="E3" s="3"/>
    </row>
    <row r="4" spans="1:22" s="1" customFormat="1" ht="24.75" customHeight="1" x14ac:dyDescent="0.2"/>
    <row r="5" spans="1:22" hidden="1" x14ac:dyDescent="0.2"/>
    <row r="6" spans="1:22" ht="13.2" hidden="1" x14ac:dyDescent="0.2">
      <c r="D6" s="10"/>
      <c r="E6" s="28"/>
      <c r="F6" s="11"/>
    </row>
    <row r="7" spans="1:22" hidden="1" x14ac:dyDescent="0.2">
      <c r="D7" s="5" t="s">
        <v>9</v>
      </c>
      <c r="E7" s="5"/>
      <c r="F7" s="6" t="s">
        <v>1</v>
      </c>
    </row>
    <row r="9" spans="1:22" x14ac:dyDescent="0.2">
      <c r="D9" s="13" t="s">
        <v>3</v>
      </c>
      <c r="E9" s="13"/>
      <c r="F9" s="13" t="s">
        <v>3</v>
      </c>
      <c r="G9" s="13" t="s">
        <v>3</v>
      </c>
      <c r="H9" s="13" t="s">
        <v>3</v>
      </c>
      <c r="I9" s="13" t="s">
        <v>3</v>
      </c>
      <c r="J9" s="13" t="s">
        <v>3</v>
      </c>
      <c r="K9" s="20" t="s">
        <v>10</v>
      </c>
    </row>
    <row r="10" spans="1:22" x14ac:dyDescent="0.2">
      <c r="D10" s="13" t="s">
        <v>3</v>
      </c>
      <c r="E10" s="13"/>
      <c r="F10" s="13" t="s">
        <v>3</v>
      </c>
      <c r="G10" s="13" t="s">
        <v>3</v>
      </c>
      <c r="H10" s="13" t="s">
        <v>3</v>
      </c>
      <c r="I10" s="13" t="s">
        <v>3</v>
      </c>
      <c r="J10" s="16" t="s">
        <v>3</v>
      </c>
      <c r="K10" s="49" t="s">
        <v>11</v>
      </c>
      <c r="L10" s="49"/>
      <c r="M10" s="52" t="s">
        <v>95</v>
      </c>
      <c r="N10" s="53"/>
      <c r="O10" s="53"/>
      <c r="P10" s="53"/>
      <c r="Q10" s="54"/>
      <c r="R10" s="52" t="s">
        <v>111</v>
      </c>
      <c r="S10" s="53"/>
      <c r="T10" s="53"/>
      <c r="U10" s="53"/>
      <c r="V10" s="54"/>
    </row>
    <row r="11" spans="1:22" x14ac:dyDescent="0.2">
      <c r="D11" s="13" t="s">
        <v>7</v>
      </c>
      <c r="E11" s="13" t="s">
        <v>126</v>
      </c>
      <c r="F11" s="13" t="s">
        <v>4</v>
      </c>
      <c r="G11" s="13" t="s">
        <v>2</v>
      </c>
      <c r="H11" s="13" t="s">
        <v>6</v>
      </c>
      <c r="I11" s="50" t="s">
        <v>5</v>
      </c>
      <c r="J11" s="51"/>
      <c r="K11" s="21">
        <v>2022</v>
      </c>
      <c r="L11" s="22">
        <v>2023</v>
      </c>
      <c r="M11" s="22" t="s">
        <v>96</v>
      </c>
      <c r="N11" s="22" t="s">
        <v>102</v>
      </c>
      <c r="O11" s="22" t="s">
        <v>97</v>
      </c>
      <c r="P11" s="22" t="s">
        <v>98</v>
      </c>
      <c r="Q11" s="22" t="s">
        <v>99</v>
      </c>
      <c r="R11" s="22" t="s">
        <v>96</v>
      </c>
      <c r="S11" s="22" t="s">
        <v>102</v>
      </c>
      <c r="T11" s="22" t="s">
        <v>97</v>
      </c>
      <c r="U11" s="22" t="s">
        <v>98</v>
      </c>
      <c r="V11" s="22" t="s">
        <v>99</v>
      </c>
    </row>
    <row r="12" spans="1:22" x14ac:dyDescent="0.2">
      <c r="D12" s="15" t="s">
        <v>63</v>
      </c>
      <c r="E12" s="15" t="s">
        <v>119</v>
      </c>
      <c r="F12" s="15" t="s">
        <v>71</v>
      </c>
      <c r="G12" s="15" t="s">
        <v>103</v>
      </c>
      <c r="H12" s="15" t="s">
        <v>122</v>
      </c>
      <c r="I12" s="15" t="s">
        <v>12</v>
      </c>
      <c r="J12" s="17" t="s">
        <v>13</v>
      </c>
      <c r="K12" s="23">
        <v>4000</v>
      </c>
      <c r="L12" s="23">
        <v>4000</v>
      </c>
      <c r="M12" s="48">
        <v>2</v>
      </c>
      <c r="N12" s="48">
        <v>0</v>
      </c>
      <c r="O12" s="48">
        <v>2</v>
      </c>
      <c r="P12" s="48">
        <v>1</v>
      </c>
      <c r="Q12" s="48">
        <v>2</v>
      </c>
      <c r="R12" s="48">
        <v>3</v>
      </c>
      <c r="S12" s="48">
        <v>0</v>
      </c>
      <c r="T12" s="48">
        <v>3</v>
      </c>
      <c r="U12" s="48">
        <v>2</v>
      </c>
      <c r="V12" s="48">
        <v>2</v>
      </c>
    </row>
    <row r="13" spans="1:22" x14ac:dyDescent="0.2">
      <c r="D13" s="15" t="s">
        <v>63</v>
      </c>
      <c r="E13" s="15" t="s">
        <v>119</v>
      </c>
      <c r="F13" s="15" t="s">
        <v>71</v>
      </c>
      <c r="G13" s="15" t="s">
        <v>103</v>
      </c>
      <c r="H13" s="15" t="s">
        <v>122</v>
      </c>
      <c r="I13" s="15" t="s">
        <v>14</v>
      </c>
      <c r="J13" s="17" t="s">
        <v>15</v>
      </c>
      <c r="K13" s="23">
        <v>8000</v>
      </c>
      <c r="L13" s="23">
        <v>7500</v>
      </c>
      <c r="M13" s="34"/>
      <c r="N13" s="34"/>
      <c r="O13" s="34"/>
      <c r="P13" s="34"/>
      <c r="Q13" s="34"/>
      <c r="R13" s="34"/>
      <c r="S13" s="34"/>
      <c r="T13" s="34"/>
      <c r="U13" s="34"/>
      <c r="V13" s="34"/>
    </row>
    <row r="14" spans="1:22" x14ac:dyDescent="0.2">
      <c r="D14" s="15" t="s">
        <v>63</v>
      </c>
      <c r="E14" s="15" t="s">
        <v>119</v>
      </c>
      <c r="F14" s="15" t="s">
        <v>71</v>
      </c>
      <c r="G14" s="15" t="s">
        <v>103</v>
      </c>
      <c r="H14" s="15" t="s">
        <v>122</v>
      </c>
      <c r="I14" s="15" t="s">
        <v>16</v>
      </c>
      <c r="J14" s="17" t="s">
        <v>17</v>
      </c>
      <c r="K14" s="23">
        <v>500</v>
      </c>
      <c r="L14" s="23">
        <v>600</v>
      </c>
      <c r="M14" s="34"/>
      <c r="N14" s="34"/>
      <c r="O14" s="34"/>
      <c r="P14" s="34"/>
      <c r="Q14" s="34"/>
      <c r="R14" s="34"/>
      <c r="S14" s="34"/>
      <c r="T14" s="34"/>
      <c r="U14" s="34"/>
      <c r="V14" s="34"/>
    </row>
    <row r="15" spans="1:22" x14ac:dyDescent="0.2">
      <c r="D15" s="15" t="s">
        <v>63</v>
      </c>
      <c r="E15" s="15" t="s">
        <v>119</v>
      </c>
      <c r="F15" s="15" t="s">
        <v>71</v>
      </c>
      <c r="G15" s="15" t="s">
        <v>103</v>
      </c>
      <c r="H15" s="15" t="s">
        <v>122</v>
      </c>
      <c r="I15" s="15" t="s">
        <v>18</v>
      </c>
      <c r="J15" s="17" t="s">
        <v>19</v>
      </c>
      <c r="K15" s="23">
        <v>2000</v>
      </c>
      <c r="L15" s="23">
        <v>1900</v>
      </c>
      <c r="M15" s="34"/>
      <c r="N15" s="34"/>
      <c r="O15" s="34"/>
      <c r="P15" s="34"/>
      <c r="Q15" s="34"/>
      <c r="R15" s="34"/>
      <c r="S15" s="34"/>
      <c r="T15" s="34"/>
      <c r="U15" s="34"/>
      <c r="V15" s="34"/>
    </row>
    <row r="16" spans="1:22" x14ac:dyDescent="0.2">
      <c r="D16" s="15" t="s">
        <v>63</v>
      </c>
      <c r="E16" s="15" t="s">
        <v>119</v>
      </c>
      <c r="F16" s="15" t="s">
        <v>71</v>
      </c>
      <c r="G16" s="15" t="s">
        <v>103</v>
      </c>
      <c r="H16" s="15" t="s">
        <v>122</v>
      </c>
      <c r="I16" s="15" t="s">
        <v>20</v>
      </c>
      <c r="J16" s="17" t="s">
        <v>21</v>
      </c>
      <c r="K16" s="23">
        <v>5000</v>
      </c>
      <c r="L16" s="23">
        <v>4750</v>
      </c>
      <c r="M16" s="34"/>
      <c r="N16" s="34"/>
      <c r="O16" s="34"/>
      <c r="P16" s="34"/>
      <c r="Q16" s="34"/>
      <c r="R16" s="34"/>
      <c r="S16" s="34"/>
      <c r="T16" s="34"/>
      <c r="U16" s="34"/>
      <c r="V16" s="34"/>
    </row>
    <row r="17" spans="4:22" x14ac:dyDescent="0.2">
      <c r="D17" s="15" t="s">
        <v>63</v>
      </c>
      <c r="E17" s="15" t="s">
        <v>119</v>
      </c>
      <c r="F17" s="15" t="s">
        <v>71</v>
      </c>
      <c r="G17" s="15" t="s">
        <v>103</v>
      </c>
      <c r="H17" s="15" t="s">
        <v>122</v>
      </c>
      <c r="I17" s="15" t="s">
        <v>22</v>
      </c>
      <c r="J17" s="17" t="s">
        <v>23</v>
      </c>
      <c r="K17" s="23">
        <v>175</v>
      </c>
      <c r="L17" s="23">
        <v>200</v>
      </c>
      <c r="M17" s="34"/>
      <c r="N17" s="34"/>
      <c r="O17" s="34"/>
      <c r="P17" s="34"/>
      <c r="Q17" s="34"/>
      <c r="R17" s="34"/>
      <c r="S17" s="34"/>
      <c r="T17" s="34"/>
      <c r="U17" s="34"/>
      <c r="V17" s="34"/>
    </row>
    <row r="18" spans="4:22" x14ac:dyDescent="0.2">
      <c r="D18" s="15" t="s">
        <v>63</v>
      </c>
      <c r="E18" s="15" t="s">
        <v>119</v>
      </c>
      <c r="F18" s="15" t="s">
        <v>71</v>
      </c>
      <c r="G18" s="15" t="s">
        <v>103</v>
      </c>
      <c r="H18" s="15" t="s">
        <v>122</v>
      </c>
      <c r="I18" s="15" t="s">
        <v>24</v>
      </c>
      <c r="J18" s="17" t="s">
        <v>25</v>
      </c>
      <c r="K18" s="23">
        <v>500</v>
      </c>
      <c r="L18" s="23">
        <v>600</v>
      </c>
      <c r="M18" s="35"/>
      <c r="N18" s="35"/>
      <c r="O18" s="35"/>
      <c r="P18" s="35"/>
      <c r="Q18" s="35"/>
      <c r="R18" s="35"/>
      <c r="S18" s="35"/>
      <c r="T18" s="35"/>
      <c r="U18" s="35"/>
      <c r="V18" s="35"/>
    </row>
    <row r="19" spans="4:22" x14ac:dyDescent="0.2">
      <c r="D19" s="15"/>
      <c r="E19" s="15" t="s">
        <v>119</v>
      </c>
      <c r="F19" s="15" t="s">
        <v>71</v>
      </c>
      <c r="G19" s="15" t="s">
        <v>103</v>
      </c>
      <c r="H19" s="15" t="s">
        <v>123</v>
      </c>
      <c r="I19" s="15" t="s">
        <v>12</v>
      </c>
      <c r="J19" s="17" t="s">
        <v>13</v>
      </c>
      <c r="K19" s="23">
        <v>4000</v>
      </c>
      <c r="L19" s="23">
        <v>4000</v>
      </c>
      <c r="M19" s="48">
        <v>2</v>
      </c>
      <c r="N19" s="48">
        <v>0</v>
      </c>
      <c r="O19" s="48">
        <v>2</v>
      </c>
      <c r="P19" s="48">
        <v>1</v>
      </c>
      <c r="Q19" s="48">
        <v>2</v>
      </c>
      <c r="R19" s="48">
        <v>4</v>
      </c>
      <c r="S19" s="48">
        <v>0</v>
      </c>
      <c r="T19" s="48">
        <v>3</v>
      </c>
      <c r="U19" s="48">
        <v>4</v>
      </c>
      <c r="V19" s="48">
        <v>2</v>
      </c>
    </row>
    <row r="20" spans="4:22" x14ac:dyDescent="0.2">
      <c r="D20" s="15"/>
      <c r="E20" s="15" t="s">
        <v>119</v>
      </c>
      <c r="F20" s="15" t="s">
        <v>71</v>
      </c>
      <c r="G20" s="15" t="s">
        <v>103</v>
      </c>
      <c r="H20" s="15" t="s">
        <v>123</v>
      </c>
      <c r="I20" s="15" t="s">
        <v>14</v>
      </c>
      <c r="J20" s="17" t="s">
        <v>15</v>
      </c>
      <c r="K20" s="23">
        <v>8000</v>
      </c>
      <c r="L20" s="23">
        <v>7500</v>
      </c>
      <c r="M20" s="34"/>
      <c r="N20" s="34"/>
      <c r="O20" s="34"/>
      <c r="P20" s="34"/>
      <c r="Q20" s="34"/>
      <c r="R20" s="34"/>
      <c r="S20" s="34"/>
      <c r="T20" s="34"/>
      <c r="U20" s="34"/>
      <c r="V20" s="34"/>
    </row>
    <row r="21" spans="4:22" x14ac:dyDescent="0.2">
      <c r="D21" s="15"/>
      <c r="E21" s="15" t="s">
        <v>119</v>
      </c>
      <c r="F21" s="15" t="s">
        <v>71</v>
      </c>
      <c r="G21" s="15" t="s">
        <v>103</v>
      </c>
      <c r="H21" s="15" t="s">
        <v>123</v>
      </c>
      <c r="I21" s="15" t="s">
        <v>16</v>
      </c>
      <c r="J21" s="17" t="s">
        <v>17</v>
      </c>
      <c r="K21" s="23">
        <v>500</v>
      </c>
      <c r="L21" s="23">
        <v>600</v>
      </c>
      <c r="M21" s="34"/>
      <c r="N21" s="34"/>
      <c r="O21" s="34"/>
      <c r="P21" s="34"/>
      <c r="Q21" s="34"/>
      <c r="R21" s="34"/>
      <c r="S21" s="34"/>
      <c r="T21" s="34"/>
      <c r="U21" s="34"/>
      <c r="V21" s="34"/>
    </row>
    <row r="22" spans="4:22" x14ac:dyDescent="0.2">
      <c r="D22" s="15"/>
      <c r="E22" s="15" t="s">
        <v>119</v>
      </c>
      <c r="F22" s="15" t="s">
        <v>71</v>
      </c>
      <c r="G22" s="15" t="s">
        <v>103</v>
      </c>
      <c r="H22" s="15" t="s">
        <v>123</v>
      </c>
      <c r="I22" s="15" t="s">
        <v>18</v>
      </c>
      <c r="J22" s="17" t="s">
        <v>19</v>
      </c>
      <c r="K22" s="23">
        <v>2000</v>
      </c>
      <c r="L22" s="23">
        <v>1900</v>
      </c>
      <c r="M22" s="34"/>
      <c r="N22" s="34"/>
      <c r="O22" s="34"/>
      <c r="P22" s="34"/>
      <c r="Q22" s="34"/>
      <c r="R22" s="34"/>
      <c r="S22" s="34"/>
      <c r="T22" s="34"/>
      <c r="U22" s="34"/>
      <c r="V22" s="34"/>
    </row>
    <row r="23" spans="4:22" x14ac:dyDescent="0.2">
      <c r="D23" s="15"/>
      <c r="E23" s="15" t="s">
        <v>119</v>
      </c>
      <c r="F23" s="15" t="s">
        <v>71</v>
      </c>
      <c r="G23" s="15" t="s">
        <v>103</v>
      </c>
      <c r="H23" s="15" t="s">
        <v>123</v>
      </c>
      <c r="I23" s="15" t="s">
        <v>20</v>
      </c>
      <c r="J23" s="17" t="s">
        <v>21</v>
      </c>
      <c r="K23" s="23">
        <v>5000</v>
      </c>
      <c r="L23" s="23">
        <v>4750</v>
      </c>
      <c r="M23" s="34"/>
      <c r="N23" s="34"/>
      <c r="O23" s="34"/>
      <c r="P23" s="34"/>
      <c r="Q23" s="34"/>
      <c r="R23" s="34"/>
      <c r="S23" s="34"/>
      <c r="T23" s="34"/>
      <c r="U23" s="34"/>
      <c r="V23" s="34"/>
    </row>
    <row r="24" spans="4:22" x14ac:dyDescent="0.2">
      <c r="D24" s="15"/>
      <c r="E24" s="15" t="s">
        <v>119</v>
      </c>
      <c r="F24" s="15" t="s">
        <v>71</v>
      </c>
      <c r="G24" s="15" t="s">
        <v>103</v>
      </c>
      <c r="H24" s="15" t="s">
        <v>123</v>
      </c>
      <c r="I24" s="15" t="s">
        <v>22</v>
      </c>
      <c r="J24" s="17" t="s">
        <v>23</v>
      </c>
      <c r="K24" s="23">
        <v>175</v>
      </c>
      <c r="L24" s="23">
        <v>200</v>
      </c>
      <c r="M24" s="34"/>
      <c r="N24" s="34"/>
      <c r="O24" s="34"/>
      <c r="P24" s="34"/>
      <c r="Q24" s="34"/>
      <c r="R24" s="34"/>
      <c r="S24" s="34"/>
      <c r="T24" s="34"/>
      <c r="U24" s="34"/>
      <c r="V24" s="34"/>
    </row>
    <row r="25" spans="4:22" x14ac:dyDescent="0.2">
      <c r="D25" s="15"/>
      <c r="E25" s="15" t="s">
        <v>119</v>
      </c>
      <c r="F25" s="15" t="s">
        <v>71</v>
      </c>
      <c r="G25" s="15" t="s">
        <v>103</v>
      </c>
      <c r="H25" s="15" t="s">
        <v>123</v>
      </c>
      <c r="I25" s="15" t="s">
        <v>24</v>
      </c>
      <c r="J25" s="17" t="s">
        <v>25</v>
      </c>
      <c r="K25" s="23">
        <v>500</v>
      </c>
      <c r="L25" s="23">
        <v>600</v>
      </c>
      <c r="M25" s="35"/>
      <c r="N25" s="35"/>
      <c r="O25" s="35"/>
      <c r="P25" s="35"/>
      <c r="Q25" s="35"/>
      <c r="R25" s="35"/>
      <c r="S25" s="35"/>
      <c r="T25" s="35"/>
      <c r="U25" s="35"/>
      <c r="V25" s="35"/>
    </row>
    <row r="26" spans="4:22" x14ac:dyDescent="0.2">
      <c r="D26" s="14" t="s">
        <v>64</v>
      </c>
      <c r="E26" s="14" t="s">
        <v>117</v>
      </c>
      <c r="F26" s="14" t="s">
        <v>72</v>
      </c>
      <c r="G26" s="14" t="s">
        <v>78</v>
      </c>
      <c r="H26" s="14" t="s">
        <v>78</v>
      </c>
      <c r="I26" s="14" t="s">
        <v>14</v>
      </c>
      <c r="J26" s="18" t="s">
        <v>15</v>
      </c>
      <c r="K26" s="23">
        <v>200</v>
      </c>
      <c r="L26" s="23">
        <v>300</v>
      </c>
      <c r="M26" s="36" t="s">
        <v>124</v>
      </c>
      <c r="N26" s="37"/>
      <c r="O26" s="37"/>
      <c r="P26" s="37"/>
      <c r="Q26" s="38"/>
      <c r="R26" s="36" t="s">
        <v>125</v>
      </c>
      <c r="S26" s="37"/>
      <c r="T26" s="37"/>
      <c r="U26" s="37"/>
      <c r="V26" s="38"/>
    </row>
    <row r="27" spans="4:22" x14ac:dyDescent="0.2">
      <c r="D27" s="14" t="s">
        <v>64</v>
      </c>
      <c r="E27" s="14" t="s">
        <v>117</v>
      </c>
      <c r="F27" s="14" t="s">
        <v>72</v>
      </c>
      <c r="G27" s="14" t="s">
        <v>78</v>
      </c>
      <c r="H27" s="14" t="s">
        <v>78</v>
      </c>
      <c r="I27" s="14" t="s">
        <v>16</v>
      </c>
      <c r="J27" s="18" t="s">
        <v>17</v>
      </c>
      <c r="K27" s="23">
        <v>250</v>
      </c>
      <c r="L27" s="23">
        <v>250</v>
      </c>
      <c r="M27" s="39"/>
      <c r="N27" s="40"/>
      <c r="O27" s="40"/>
      <c r="P27" s="40"/>
      <c r="Q27" s="41"/>
      <c r="R27" s="39"/>
      <c r="S27" s="40"/>
      <c r="T27" s="40"/>
      <c r="U27" s="40"/>
      <c r="V27" s="41"/>
    </row>
    <row r="28" spans="4:22" x14ac:dyDescent="0.2">
      <c r="D28" s="14" t="s">
        <v>64</v>
      </c>
      <c r="E28" s="14" t="s">
        <v>117</v>
      </c>
      <c r="F28" s="14" t="s">
        <v>72</v>
      </c>
      <c r="G28" s="14" t="s">
        <v>78</v>
      </c>
      <c r="H28" s="14" t="s">
        <v>78</v>
      </c>
      <c r="I28" s="14" t="s">
        <v>26</v>
      </c>
      <c r="J28" s="18" t="s">
        <v>27</v>
      </c>
      <c r="K28" s="23">
        <v>500</v>
      </c>
      <c r="L28" s="23">
        <v>500</v>
      </c>
      <c r="M28" s="39"/>
      <c r="N28" s="40"/>
      <c r="O28" s="40"/>
      <c r="P28" s="40"/>
      <c r="Q28" s="41"/>
      <c r="R28" s="39"/>
      <c r="S28" s="40"/>
      <c r="T28" s="40"/>
      <c r="U28" s="40"/>
      <c r="V28" s="41"/>
    </row>
    <row r="29" spans="4:22" x14ac:dyDescent="0.2">
      <c r="D29" s="14" t="s">
        <v>64</v>
      </c>
      <c r="E29" s="14" t="s">
        <v>117</v>
      </c>
      <c r="F29" s="14" t="s">
        <v>72</v>
      </c>
      <c r="G29" s="14" t="s">
        <v>78</v>
      </c>
      <c r="H29" s="14" t="s">
        <v>78</v>
      </c>
      <c r="I29" s="14" t="s">
        <v>28</v>
      </c>
      <c r="J29" s="18" t="s">
        <v>29</v>
      </c>
      <c r="K29" s="23">
        <v>800</v>
      </c>
      <c r="L29" s="23">
        <v>1500</v>
      </c>
      <c r="M29" s="42"/>
      <c r="N29" s="43"/>
      <c r="O29" s="43"/>
      <c r="P29" s="43"/>
      <c r="Q29" s="44"/>
      <c r="R29" s="42"/>
      <c r="S29" s="43"/>
      <c r="T29" s="43"/>
      <c r="U29" s="43"/>
      <c r="V29" s="44"/>
    </row>
    <row r="30" spans="4:22" x14ac:dyDescent="0.2">
      <c r="D30" s="14" t="s">
        <v>65</v>
      </c>
      <c r="E30" s="14" t="s">
        <v>117</v>
      </c>
      <c r="F30" s="14" t="s">
        <v>72</v>
      </c>
      <c r="G30" s="14" t="s">
        <v>79</v>
      </c>
      <c r="H30" s="14" t="s">
        <v>79</v>
      </c>
      <c r="I30" s="14" t="s">
        <v>16</v>
      </c>
      <c r="J30" s="18" t="s">
        <v>17</v>
      </c>
      <c r="K30" s="23">
        <v>500</v>
      </c>
      <c r="L30" s="23">
        <v>500</v>
      </c>
      <c r="M30" s="24"/>
      <c r="N30" s="24"/>
      <c r="O30" s="45">
        <v>2</v>
      </c>
      <c r="P30" s="24"/>
      <c r="Q30" s="24"/>
      <c r="R30" s="24"/>
      <c r="S30" s="24"/>
      <c r="T30" s="45">
        <v>2</v>
      </c>
      <c r="U30" s="24"/>
      <c r="V30" s="24"/>
    </row>
    <row r="31" spans="4:22" x14ac:dyDescent="0.2">
      <c r="D31" s="14" t="s">
        <v>65</v>
      </c>
      <c r="E31" s="14" t="s">
        <v>117</v>
      </c>
      <c r="F31" s="14" t="s">
        <v>72</v>
      </c>
      <c r="G31" s="14" t="s">
        <v>79</v>
      </c>
      <c r="H31" s="14" t="s">
        <v>79</v>
      </c>
      <c r="I31" s="14" t="s">
        <v>22</v>
      </c>
      <c r="J31" s="18" t="s">
        <v>23</v>
      </c>
      <c r="K31" s="23">
        <v>250</v>
      </c>
      <c r="L31" s="23">
        <v>250</v>
      </c>
      <c r="M31" s="24"/>
      <c r="N31" s="24"/>
      <c r="O31" s="46"/>
      <c r="P31" s="24"/>
      <c r="Q31" s="24"/>
      <c r="R31" s="24"/>
      <c r="S31" s="24"/>
      <c r="T31" s="46"/>
      <c r="U31" s="24"/>
      <c r="V31" s="24"/>
    </row>
    <row r="32" spans="4:22" x14ac:dyDescent="0.2">
      <c r="D32" s="14" t="s">
        <v>65</v>
      </c>
      <c r="E32" s="14" t="s">
        <v>117</v>
      </c>
      <c r="F32" s="14" t="s">
        <v>72</v>
      </c>
      <c r="G32" s="14" t="s">
        <v>79</v>
      </c>
      <c r="H32" s="14" t="s">
        <v>79</v>
      </c>
      <c r="I32" s="14" t="s">
        <v>30</v>
      </c>
      <c r="J32" s="18" t="s">
        <v>31</v>
      </c>
      <c r="K32" s="23">
        <v>2150</v>
      </c>
      <c r="L32" s="23">
        <v>2150</v>
      </c>
      <c r="M32" s="24"/>
      <c r="N32" s="24"/>
      <c r="O32" s="46"/>
      <c r="P32" s="24"/>
      <c r="Q32" s="24"/>
      <c r="R32" s="24"/>
      <c r="S32" s="24"/>
      <c r="T32" s="46"/>
      <c r="U32" s="24"/>
      <c r="V32" s="24"/>
    </row>
    <row r="33" spans="4:22" x14ac:dyDescent="0.2">
      <c r="D33" s="14" t="s">
        <v>65</v>
      </c>
      <c r="E33" s="14" t="s">
        <v>117</v>
      </c>
      <c r="F33" s="14" t="s">
        <v>72</v>
      </c>
      <c r="G33" s="14" t="s">
        <v>79</v>
      </c>
      <c r="H33" s="14" t="s">
        <v>79</v>
      </c>
      <c r="I33" s="14" t="s">
        <v>26</v>
      </c>
      <c r="J33" s="18" t="s">
        <v>27</v>
      </c>
      <c r="K33" s="23">
        <v>1250</v>
      </c>
      <c r="L33" s="23">
        <v>1250</v>
      </c>
      <c r="M33" s="24"/>
      <c r="N33" s="24"/>
      <c r="O33" s="47"/>
      <c r="P33" s="24"/>
      <c r="Q33" s="24"/>
      <c r="R33" s="24"/>
      <c r="S33" s="24"/>
      <c r="T33" s="47"/>
      <c r="U33" s="24"/>
      <c r="V33" s="24"/>
    </row>
    <row r="34" spans="4:22" x14ac:dyDescent="0.2">
      <c r="D34" s="14" t="s">
        <v>65</v>
      </c>
      <c r="E34" s="14" t="s">
        <v>117</v>
      </c>
      <c r="F34" s="14" t="s">
        <v>72</v>
      </c>
      <c r="G34" s="14" t="s">
        <v>80</v>
      </c>
      <c r="H34" s="14" t="s">
        <v>80</v>
      </c>
      <c r="I34" s="14" t="s">
        <v>32</v>
      </c>
      <c r="J34" s="18" t="s">
        <v>33</v>
      </c>
      <c r="K34" s="23">
        <v>2500</v>
      </c>
      <c r="L34" s="23">
        <v>5500</v>
      </c>
      <c r="M34" s="24">
        <v>1</v>
      </c>
      <c r="N34" s="24"/>
      <c r="O34" s="24"/>
      <c r="P34" s="24"/>
      <c r="Q34" s="24"/>
      <c r="R34" s="24">
        <v>2</v>
      </c>
      <c r="S34" s="24"/>
      <c r="T34" s="24"/>
      <c r="U34" s="24"/>
      <c r="V34" s="24"/>
    </row>
    <row r="35" spans="4:22" x14ac:dyDescent="0.2">
      <c r="D35" s="15" t="s">
        <v>65</v>
      </c>
      <c r="E35" s="15" t="s">
        <v>117</v>
      </c>
      <c r="F35" s="15" t="s">
        <v>72</v>
      </c>
      <c r="G35" s="15" t="s">
        <v>81</v>
      </c>
      <c r="H35" s="15" t="s">
        <v>104</v>
      </c>
      <c r="I35" s="15" t="s">
        <v>16</v>
      </c>
      <c r="J35" s="17" t="s">
        <v>17</v>
      </c>
      <c r="K35" s="23">
        <v>5000</v>
      </c>
      <c r="L35" s="23">
        <v>4500</v>
      </c>
      <c r="M35" s="48">
        <v>8</v>
      </c>
      <c r="N35" s="48">
        <v>200</v>
      </c>
      <c r="O35" s="48">
        <v>1</v>
      </c>
      <c r="P35" s="48">
        <v>5</v>
      </c>
      <c r="Q35" s="48">
        <v>2</v>
      </c>
      <c r="R35" s="48">
        <v>8</v>
      </c>
      <c r="S35" s="48">
        <v>250</v>
      </c>
      <c r="T35" s="48">
        <v>1</v>
      </c>
      <c r="U35" s="48">
        <v>5</v>
      </c>
      <c r="V35" s="48">
        <v>2</v>
      </c>
    </row>
    <row r="36" spans="4:22" x14ac:dyDescent="0.2">
      <c r="D36" s="15" t="s">
        <v>65</v>
      </c>
      <c r="E36" s="15" t="s">
        <v>117</v>
      </c>
      <c r="F36" s="15" t="s">
        <v>72</v>
      </c>
      <c r="G36" s="15" t="s">
        <v>81</v>
      </c>
      <c r="H36" s="15" t="s">
        <v>104</v>
      </c>
      <c r="I36" s="15" t="s">
        <v>22</v>
      </c>
      <c r="J36" s="17" t="s">
        <v>23</v>
      </c>
      <c r="K36" s="23">
        <v>1700</v>
      </c>
      <c r="L36" s="23">
        <v>1500</v>
      </c>
      <c r="M36" s="34"/>
      <c r="N36" s="34"/>
      <c r="O36" s="34"/>
      <c r="P36" s="34"/>
      <c r="Q36" s="34"/>
      <c r="R36" s="34"/>
      <c r="S36" s="34"/>
      <c r="T36" s="34"/>
      <c r="U36" s="34"/>
      <c r="V36" s="34"/>
    </row>
    <row r="37" spans="4:22" x14ac:dyDescent="0.2">
      <c r="D37" s="15" t="s">
        <v>65</v>
      </c>
      <c r="E37" s="15" t="s">
        <v>117</v>
      </c>
      <c r="F37" s="15" t="s">
        <v>72</v>
      </c>
      <c r="G37" s="15" t="s">
        <v>81</v>
      </c>
      <c r="H37" s="15" t="s">
        <v>104</v>
      </c>
      <c r="I37" s="15" t="s">
        <v>34</v>
      </c>
      <c r="J37" s="17" t="s">
        <v>35</v>
      </c>
      <c r="K37" s="23">
        <v>5000</v>
      </c>
      <c r="L37" s="23">
        <v>5000</v>
      </c>
      <c r="M37" s="34"/>
      <c r="N37" s="34"/>
      <c r="O37" s="34"/>
      <c r="P37" s="34"/>
      <c r="Q37" s="34"/>
      <c r="R37" s="34"/>
      <c r="S37" s="34"/>
      <c r="T37" s="34"/>
      <c r="U37" s="34"/>
      <c r="V37" s="34"/>
    </row>
    <row r="38" spans="4:22" x14ac:dyDescent="0.2">
      <c r="D38" s="15" t="s">
        <v>65</v>
      </c>
      <c r="E38" s="15" t="s">
        <v>117</v>
      </c>
      <c r="F38" s="15" t="s">
        <v>72</v>
      </c>
      <c r="G38" s="15" t="s">
        <v>81</v>
      </c>
      <c r="H38" s="15" t="s">
        <v>104</v>
      </c>
      <c r="I38" s="15" t="s">
        <v>26</v>
      </c>
      <c r="J38" s="17" t="s">
        <v>27</v>
      </c>
      <c r="K38" s="23">
        <v>1200</v>
      </c>
      <c r="L38" s="23">
        <v>1000</v>
      </c>
      <c r="M38" s="35"/>
      <c r="N38" s="35"/>
      <c r="O38" s="35"/>
      <c r="P38" s="35"/>
      <c r="Q38" s="35"/>
      <c r="R38" s="35"/>
      <c r="S38" s="35"/>
      <c r="T38" s="35"/>
      <c r="U38" s="35"/>
      <c r="V38" s="35"/>
    </row>
    <row r="39" spans="4:22" x14ac:dyDescent="0.2">
      <c r="D39" s="15" t="s">
        <v>65</v>
      </c>
      <c r="E39" s="15" t="s">
        <v>117</v>
      </c>
      <c r="F39" s="15" t="s">
        <v>72</v>
      </c>
      <c r="G39" s="15" t="s">
        <v>81</v>
      </c>
      <c r="H39" s="15" t="s">
        <v>105</v>
      </c>
      <c r="I39" s="15" t="s">
        <v>16</v>
      </c>
      <c r="J39" s="17" t="s">
        <v>17</v>
      </c>
      <c r="K39" s="23">
        <v>5000</v>
      </c>
      <c r="L39" s="23">
        <v>5000</v>
      </c>
      <c r="M39" s="48">
        <v>8</v>
      </c>
      <c r="N39" s="48">
        <v>200</v>
      </c>
      <c r="O39" s="48">
        <v>1</v>
      </c>
      <c r="P39" s="48">
        <v>5</v>
      </c>
      <c r="Q39" s="48">
        <v>2</v>
      </c>
      <c r="R39" s="48">
        <v>8</v>
      </c>
      <c r="S39" s="48">
        <v>250</v>
      </c>
      <c r="T39" s="48">
        <v>1</v>
      </c>
      <c r="U39" s="48">
        <v>5</v>
      </c>
      <c r="V39" s="48">
        <v>2</v>
      </c>
    </row>
    <row r="40" spans="4:22" x14ac:dyDescent="0.2">
      <c r="D40" s="15" t="s">
        <v>65</v>
      </c>
      <c r="E40" s="15" t="s">
        <v>117</v>
      </c>
      <c r="F40" s="15" t="s">
        <v>72</v>
      </c>
      <c r="G40" s="15" t="s">
        <v>81</v>
      </c>
      <c r="H40" s="15" t="s">
        <v>105</v>
      </c>
      <c r="I40" s="15" t="s">
        <v>22</v>
      </c>
      <c r="J40" s="17" t="s">
        <v>23</v>
      </c>
      <c r="K40" s="23">
        <v>1700</v>
      </c>
      <c r="L40" s="23">
        <v>1700</v>
      </c>
      <c r="M40" s="34"/>
      <c r="N40" s="34"/>
      <c r="O40" s="34"/>
      <c r="P40" s="34"/>
      <c r="Q40" s="34"/>
      <c r="R40" s="34"/>
      <c r="S40" s="34"/>
      <c r="T40" s="34"/>
      <c r="U40" s="34"/>
      <c r="V40" s="34"/>
    </row>
    <row r="41" spans="4:22" x14ac:dyDescent="0.2">
      <c r="D41" s="15" t="s">
        <v>65</v>
      </c>
      <c r="E41" s="15" t="s">
        <v>117</v>
      </c>
      <c r="F41" s="15" t="s">
        <v>72</v>
      </c>
      <c r="G41" s="15" t="s">
        <v>81</v>
      </c>
      <c r="H41" s="15" t="s">
        <v>105</v>
      </c>
      <c r="I41" s="15" t="s">
        <v>34</v>
      </c>
      <c r="J41" s="17" t="s">
        <v>35</v>
      </c>
      <c r="K41" s="23">
        <v>29100</v>
      </c>
      <c r="L41" s="23">
        <v>40000</v>
      </c>
      <c r="M41" s="34"/>
      <c r="N41" s="34"/>
      <c r="O41" s="34"/>
      <c r="P41" s="34"/>
      <c r="Q41" s="34"/>
      <c r="R41" s="34"/>
      <c r="S41" s="34"/>
      <c r="T41" s="34"/>
      <c r="U41" s="34"/>
      <c r="V41" s="34"/>
    </row>
    <row r="42" spans="4:22" x14ac:dyDescent="0.2">
      <c r="D42" s="15" t="s">
        <v>65</v>
      </c>
      <c r="E42" s="15" t="s">
        <v>117</v>
      </c>
      <c r="F42" s="15" t="s">
        <v>72</v>
      </c>
      <c r="G42" s="15" t="s">
        <v>81</v>
      </c>
      <c r="H42" s="15" t="s">
        <v>105</v>
      </c>
      <c r="I42" s="15" t="s">
        <v>26</v>
      </c>
      <c r="J42" s="17" t="s">
        <v>27</v>
      </c>
      <c r="K42" s="23">
        <v>1200</v>
      </c>
      <c r="L42" s="23">
        <v>1200</v>
      </c>
      <c r="M42" s="35"/>
      <c r="N42" s="35"/>
      <c r="O42" s="35"/>
      <c r="P42" s="35"/>
      <c r="Q42" s="35"/>
      <c r="R42" s="35"/>
      <c r="S42" s="35"/>
      <c r="T42" s="35"/>
      <c r="U42" s="35"/>
      <c r="V42" s="35"/>
    </row>
    <row r="43" spans="4:22" x14ac:dyDescent="0.2">
      <c r="D43" s="15" t="s">
        <v>65</v>
      </c>
      <c r="E43" s="15" t="s">
        <v>117</v>
      </c>
      <c r="F43" s="15" t="s">
        <v>72</v>
      </c>
      <c r="G43" s="15" t="s">
        <v>78</v>
      </c>
      <c r="H43" s="15" t="s">
        <v>106</v>
      </c>
      <c r="I43" s="15" t="s">
        <v>12</v>
      </c>
      <c r="J43" s="18" t="s">
        <v>13</v>
      </c>
      <c r="K43" s="23">
        <v>12000</v>
      </c>
      <c r="L43" s="23">
        <v>12000</v>
      </c>
      <c r="M43" s="33">
        <v>25</v>
      </c>
      <c r="N43" s="33">
        <v>200</v>
      </c>
      <c r="O43" s="33">
        <v>1</v>
      </c>
      <c r="P43" s="33">
        <v>3</v>
      </c>
      <c r="Q43" s="33">
        <v>10</v>
      </c>
      <c r="R43" s="33">
        <v>15</v>
      </c>
      <c r="S43" s="33">
        <v>250</v>
      </c>
      <c r="T43" s="33">
        <v>1</v>
      </c>
      <c r="U43" s="33">
        <v>3</v>
      </c>
      <c r="V43" s="33">
        <v>10</v>
      </c>
    </row>
    <row r="44" spans="4:22" x14ac:dyDescent="0.2">
      <c r="D44" s="15" t="s">
        <v>65</v>
      </c>
      <c r="E44" s="15" t="s">
        <v>117</v>
      </c>
      <c r="F44" s="15" t="s">
        <v>72</v>
      </c>
      <c r="G44" s="15" t="s">
        <v>78</v>
      </c>
      <c r="H44" s="15" t="s">
        <v>106</v>
      </c>
      <c r="I44" s="15" t="s">
        <v>14</v>
      </c>
      <c r="J44" s="18" t="s">
        <v>15</v>
      </c>
      <c r="K44" s="23">
        <v>600</v>
      </c>
      <c r="L44" s="23">
        <v>600</v>
      </c>
      <c r="M44" s="34"/>
      <c r="N44" s="34"/>
      <c r="O44" s="34"/>
      <c r="P44" s="34"/>
      <c r="Q44" s="34"/>
      <c r="R44" s="34"/>
      <c r="S44" s="34"/>
      <c r="T44" s="34"/>
      <c r="U44" s="34"/>
      <c r="V44" s="34"/>
    </row>
    <row r="45" spans="4:22" x14ac:dyDescent="0.2">
      <c r="D45" s="15" t="s">
        <v>65</v>
      </c>
      <c r="E45" s="15" t="s">
        <v>117</v>
      </c>
      <c r="F45" s="15" t="s">
        <v>72</v>
      </c>
      <c r="G45" s="15" t="s">
        <v>78</v>
      </c>
      <c r="H45" s="15" t="s">
        <v>106</v>
      </c>
      <c r="I45" s="15" t="s">
        <v>18</v>
      </c>
      <c r="J45" s="18" t="s">
        <v>19</v>
      </c>
      <c r="K45" s="23">
        <v>1500</v>
      </c>
      <c r="L45" s="23">
        <v>1500</v>
      </c>
      <c r="M45" s="34"/>
      <c r="N45" s="34"/>
      <c r="O45" s="34"/>
      <c r="P45" s="34"/>
      <c r="Q45" s="34"/>
      <c r="R45" s="34"/>
      <c r="S45" s="34"/>
      <c r="T45" s="34"/>
      <c r="U45" s="34"/>
      <c r="V45" s="34"/>
    </row>
    <row r="46" spans="4:22" x14ac:dyDescent="0.2">
      <c r="D46" s="15" t="s">
        <v>65</v>
      </c>
      <c r="E46" s="15" t="s">
        <v>117</v>
      </c>
      <c r="F46" s="15" t="s">
        <v>72</v>
      </c>
      <c r="G46" s="15" t="s">
        <v>78</v>
      </c>
      <c r="H46" s="15" t="s">
        <v>106</v>
      </c>
      <c r="I46" s="15" t="s">
        <v>22</v>
      </c>
      <c r="J46" s="18" t="s">
        <v>23</v>
      </c>
      <c r="K46" s="23">
        <v>1500</v>
      </c>
      <c r="L46" s="23">
        <v>1500</v>
      </c>
      <c r="M46" s="34"/>
      <c r="N46" s="34"/>
      <c r="O46" s="34"/>
      <c r="P46" s="34"/>
      <c r="Q46" s="34"/>
      <c r="R46" s="34"/>
      <c r="S46" s="34"/>
      <c r="T46" s="34"/>
      <c r="U46" s="34"/>
      <c r="V46" s="34"/>
    </row>
    <row r="47" spans="4:22" x14ac:dyDescent="0.2">
      <c r="D47" s="15" t="s">
        <v>65</v>
      </c>
      <c r="E47" s="15" t="s">
        <v>117</v>
      </c>
      <c r="F47" s="15" t="s">
        <v>72</v>
      </c>
      <c r="G47" s="15" t="s">
        <v>78</v>
      </c>
      <c r="H47" s="15" t="s">
        <v>106</v>
      </c>
      <c r="I47" s="15" t="s">
        <v>36</v>
      </c>
      <c r="J47" s="18" t="s">
        <v>37</v>
      </c>
      <c r="K47" s="23">
        <v>25000</v>
      </c>
      <c r="L47" s="23">
        <v>35000</v>
      </c>
      <c r="M47" s="34"/>
      <c r="N47" s="34"/>
      <c r="O47" s="34"/>
      <c r="P47" s="34"/>
      <c r="Q47" s="34"/>
      <c r="R47" s="34"/>
      <c r="S47" s="34"/>
      <c r="T47" s="34"/>
      <c r="U47" s="34"/>
      <c r="V47" s="34"/>
    </row>
    <row r="48" spans="4:22" x14ac:dyDescent="0.2">
      <c r="D48" s="15" t="s">
        <v>65</v>
      </c>
      <c r="E48" s="15" t="s">
        <v>117</v>
      </c>
      <c r="F48" s="15" t="s">
        <v>72</v>
      </c>
      <c r="G48" s="15" t="s">
        <v>78</v>
      </c>
      <c r="H48" s="15" t="s">
        <v>106</v>
      </c>
      <c r="I48" s="15" t="s">
        <v>28</v>
      </c>
      <c r="J48" s="18" t="s">
        <v>29</v>
      </c>
      <c r="K48" s="23">
        <v>5000</v>
      </c>
      <c r="L48" s="23">
        <v>6500</v>
      </c>
      <c r="M48" s="35"/>
      <c r="N48" s="35"/>
      <c r="O48" s="35"/>
      <c r="P48" s="35"/>
      <c r="Q48" s="35"/>
      <c r="R48" s="35"/>
      <c r="S48" s="35"/>
      <c r="T48" s="35"/>
      <c r="U48" s="35"/>
      <c r="V48" s="35"/>
    </row>
    <row r="49" spans="4:22" x14ac:dyDescent="0.2">
      <c r="D49" s="15" t="s">
        <v>65</v>
      </c>
      <c r="E49" s="15" t="s">
        <v>117</v>
      </c>
      <c r="F49" s="15" t="s">
        <v>72</v>
      </c>
      <c r="G49" s="15" t="s">
        <v>78</v>
      </c>
      <c r="H49" s="15" t="s">
        <v>100</v>
      </c>
      <c r="I49" s="15" t="s">
        <v>14</v>
      </c>
      <c r="J49" s="18" t="s">
        <v>15</v>
      </c>
      <c r="K49" s="23">
        <v>1000</v>
      </c>
      <c r="L49" s="23">
        <v>1000</v>
      </c>
      <c r="M49" s="24"/>
      <c r="N49" s="24"/>
      <c r="O49" s="24"/>
      <c r="P49" s="24"/>
      <c r="Q49" s="24"/>
      <c r="R49" s="24"/>
      <c r="S49" s="24"/>
      <c r="T49" s="24"/>
      <c r="U49" s="24"/>
      <c r="V49" s="24"/>
    </row>
    <row r="50" spans="4:22" x14ac:dyDescent="0.2">
      <c r="D50" s="15" t="s">
        <v>65</v>
      </c>
      <c r="E50" s="15" t="s">
        <v>117</v>
      </c>
      <c r="F50" s="15" t="s">
        <v>72</v>
      </c>
      <c r="G50" s="15" t="s">
        <v>78</v>
      </c>
      <c r="H50" s="15" t="s">
        <v>100</v>
      </c>
      <c r="I50" s="15" t="s">
        <v>38</v>
      </c>
      <c r="J50" s="18" t="s">
        <v>39</v>
      </c>
      <c r="K50" s="23">
        <v>2500</v>
      </c>
      <c r="L50" s="23">
        <v>2500</v>
      </c>
      <c r="M50" s="24"/>
      <c r="N50" s="24"/>
      <c r="O50" s="24"/>
      <c r="P50" s="24"/>
      <c r="Q50" s="24"/>
      <c r="R50" s="24"/>
      <c r="S50" s="24"/>
      <c r="T50" s="24"/>
      <c r="U50" s="24"/>
      <c r="V50" s="24"/>
    </row>
    <row r="51" spans="4:22" x14ac:dyDescent="0.2">
      <c r="D51" s="15" t="s">
        <v>65</v>
      </c>
      <c r="E51" s="15" t="s">
        <v>117</v>
      </c>
      <c r="F51" s="15" t="s">
        <v>72</v>
      </c>
      <c r="G51" s="15" t="s">
        <v>78</v>
      </c>
      <c r="H51" s="15" t="s">
        <v>101</v>
      </c>
      <c r="I51" s="15" t="s">
        <v>28</v>
      </c>
      <c r="J51" s="18" t="s">
        <v>29</v>
      </c>
      <c r="K51" s="23">
        <v>1000</v>
      </c>
      <c r="L51" s="23">
        <v>1000</v>
      </c>
      <c r="M51" s="24"/>
      <c r="N51" s="24"/>
      <c r="O51" s="24"/>
      <c r="P51" s="24"/>
      <c r="Q51" s="24"/>
      <c r="R51" s="24"/>
      <c r="S51" s="24"/>
      <c r="T51" s="24"/>
      <c r="U51" s="24"/>
      <c r="V51" s="24"/>
    </row>
    <row r="52" spans="4:22" x14ac:dyDescent="0.2">
      <c r="D52" s="14" t="s">
        <v>66</v>
      </c>
      <c r="E52" s="14" t="s">
        <v>119</v>
      </c>
      <c r="F52" s="14" t="s">
        <v>73</v>
      </c>
      <c r="G52" s="14" t="s">
        <v>82</v>
      </c>
      <c r="H52" s="14" t="s">
        <v>109</v>
      </c>
      <c r="I52" s="14" t="s">
        <v>40</v>
      </c>
      <c r="J52" s="18" t="s">
        <v>41</v>
      </c>
      <c r="K52" s="23">
        <v>741</v>
      </c>
      <c r="L52" s="23">
        <v>750</v>
      </c>
      <c r="M52" s="24">
        <v>3</v>
      </c>
      <c r="N52" s="24"/>
      <c r="O52" s="24">
        <v>1</v>
      </c>
      <c r="P52" s="24">
        <v>5</v>
      </c>
      <c r="Q52" s="24"/>
      <c r="R52" s="24">
        <v>3</v>
      </c>
      <c r="S52" s="24"/>
      <c r="T52" s="24">
        <v>1</v>
      </c>
      <c r="U52" s="24">
        <v>5</v>
      </c>
      <c r="V52" s="24"/>
    </row>
    <row r="53" spans="4:22" x14ac:dyDescent="0.2">
      <c r="D53" s="15" t="s">
        <v>66</v>
      </c>
      <c r="E53" s="15" t="s">
        <v>119</v>
      </c>
      <c r="F53" s="15" t="s">
        <v>73</v>
      </c>
      <c r="G53" s="15" t="s">
        <v>83</v>
      </c>
      <c r="H53" s="15" t="s">
        <v>89</v>
      </c>
      <c r="I53" s="15" t="s">
        <v>38</v>
      </c>
      <c r="J53" s="17" t="s">
        <v>39</v>
      </c>
      <c r="K53" s="23">
        <v>15000</v>
      </c>
      <c r="L53" s="23">
        <v>20000</v>
      </c>
      <c r="M53" s="24"/>
      <c r="N53" s="24">
        <v>50</v>
      </c>
      <c r="O53" s="24"/>
      <c r="P53" s="24"/>
      <c r="Q53" s="24"/>
      <c r="R53" s="24"/>
      <c r="S53" s="24">
        <v>60</v>
      </c>
      <c r="T53" s="24"/>
      <c r="U53" s="24"/>
      <c r="V53" s="24"/>
    </row>
    <row r="54" spans="4:22" x14ac:dyDescent="0.2">
      <c r="D54" s="14" t="s">
        <v>66</v>
      </c>
      <c r="E54" s="14" t="s">
        <v>119</v>
      </c>
      <c r="F54" s="14" t="s">
        <v>74</v>
      </c>
      <c r="G54" s="14" t="s">
        <v>84</v>
      </c>
      <c r="H54" s="14" t="s">
        <v>90</v>
      </c>
      <c r="I54" s="14" t="s">
        <v>32</v>
      </c>
      <c r="J54" s="18" t="s">
        <v>33</v>
      </c>
      <c r="K54" s="23">
        <v>6500</v>
      </c>
      <c r="L54" s="23">
        <v>7000</v>
      </c>
      <c r="M54" s="24">
        <v>2</v>
      </c>
      <c r="N54" s="24"/>
      <c r="O54" s="24"/>
      <c r="P54" s="24"/>
      <c r="Q54" s="24"/>
      <c r="R54" s="24">
        <v>2</v>
      </c>
      <c r="S54" s="24"/>
      <c r="T54" s="24"/>
      <c r="U54" s="24"/>
      <c r="V54" s="24"/>
    </row>
    <row r="55" spans="4:22" x14ac:dyDescent="0.2">
      <c r="D55" s="15" t="s">
        <v>67</v>
      </c>
      <c r="E55" s="15" t="s">
        <v>118</v>
      </c>
      <c r="F55" s="15" t="s">
        <v>75</v>
      </c>
      <c r="G55" s="15" t="s">
        <v>85</v>
      </c>
      <c r="H55" s="15" t="s">
        <v>91</v>
      </c>
      <c r="I55" s="15" t="s">
        <v>38</v>
      </c>
      <c r="J55" s="17" t="s">
        <v>39</v>
      </c>
      <c r="K55" s="23">
        <v>2500</v>
      </c>
      <c r="L55" s="23">
        <v>3500</v>
      </c>
      <c r="M55" s="24">
        <v>2</v>
      </c>
      <c r="N55" s="24">
        <v>1</v>
      </c>
      <c r="O55" s="24">
        <v>2</v>
      </c>
      <c r="P55" s="24">
        <v>3</v>
      </c>
      <c r="Q55" s="24"/>
      <c r="R55" s="24">
        <v>2</v>
      </c>
      <c r="S55" s="24">
        <v>1</v>
      </c>
      <c r="T55" s="24">
        <v>2</v>
      </c>
      <c r="U55" s="24">
        <v>3</v>
      </c>
      <c r="V55" s="24"/>
    </row>
    <row r="56" spans="4:22" x14ac:dyDescent="0.2">
      <c r="D56" s="15" t="s">
        <v>68</v>
      </c>
      <c r="E56" s="15" t="s">
        <v>120</v>
      </c>
      <c r="F56" s="15" t="s">
        <v>76</v>
      </c>
      <c r="G56" s="15" t="s">
        <v>107</v>
      </c>
      <c r="H56" s="15" t="s">
        <v>92</v>
      </c>
      <c r="I56" s="15" t="s">
        <v>40</v>
      </c>
      <c r="J56" s="17" t="s">
        <v>41</v>
      </c>
      <c r="K56" s="23">
        <v>8000</v>
      </c>
      <c r="L56" s="23">
        <v>8000</v>
      </c>
      <c r="M56" s="24">
        <v>1</v>
      </c>
      <c r="N56" s="24">
        <v>4</v>
      </c>
      <c r="O56" s="24">
        <v>1</v>
      </c>
      <c r="P56" s="24">
        <v>4</v>
      </c>
      <c r="Q56" s="24"/>
      <c r="R56" s="24">
        <v>1</v>
      </c>
      <c r="S56" s="24">
        <v>4</v>
      </c>
      <c r="T56" s="24">
        <v>2</v>
      </c>
      <c r="U56" s="24">
        <v>5</v>
      </c>
      <c r="V56" s="24"/>
    </row>
    <row r="57" spans="4:22" x14ac:dyDescent="0.2">
      <c r="D57" s="14" t="s">
        <v>69</v>
      </c>
      <c r="E57" s="14" t="s">
        <v>120</v>
      </c>
      <c r="F57" s="14" t="s">
        <v>77</v>
      </c>
      <c r="G57" s="14" t="s">
        <v>86</v>
      </c>
      <c r="H57" s="14" t="s">
        <v>86</v>
      </c>
      <c r="I57" s="14" t="s">
        <v>44</v>
      </c>
      <c r="J57" s="18" t="s">
        <v>45</v>
      </c>
      <c r="K57" s="23">
        <v>11250</v>
      </c>
      <c r="L57" s="23">
        <f>K57*1.05</f>
        <v>11812.5</v>
      </c>
      <c r="M57" s="24"/>
      <c r="N57" s="24"/>
      <c r="O57" s="24"/>
      <c r="P57" s="24"/>
      <c r="Q57" s="24"/>
      <c r="R57" s="24"/>
      <c r="S57" s="24"/>
      <c r="T57" s="24"/>
      <c r="U57" s="24"/>
      <c r="V57" s="24"/>
    </row>
    <row r="58" spans="4:22" x14ac:dyDescent="0.2">
      <c r="D58" s="14" t="s">
        <v>69</v>
      </c>
      <c r="E58" s="14" t="s">
        <v>120</v>
      </c>
      <c r="F58" s="14" t="s">
        <v>77</v>
      </c>
      <c r="G58" s="14" t="s">
        <v>86</v>
      </c>
      <c r="H58" s="14" t="s">
        <v>86</v>
      </c>
      <c r="I58" s="14" t="s">
        <v>46</v>
      </c>
      <c r="J58" s="18" t="s">
        <v>47</v>
      </c>
      <c r="K58" s="23">
        <v>26250</v>
      </c>
      <c r="L58" s="23">
        <f t="shared" ref="L58:L73" si="0">K58*1.05</f>
        <v>27562.5</v>
      </c>
      <c r="M58" s="24"/>
      <c r="N58" s="24"/>
      <c r="O58" s="24"/>
      <c r="P58" s="24"/>
      <c r="Q58" s="24"/>
      <c r="R58" s="24"/>
      <c r="S58" s="24"/>
      <c r="T58" s="24"/>
      <c r="U58" s="24"/>
      <c r="V58" s="24"/>
    </row>
    <row r="59" spans="4:22" x14ac:dyDescent="0.2">
      <c r="D59" s="14" t="s">
        <v>69</v>
      </c>
      <c r="E59" s="14" t="s">
        <v>120</v>
      </c>
      <c r="F59" s="14" t="s">
        <v>77</v>
      </c>
      <c r="G59" s="14" t="s">
        <v>86</v>
      </c>
      <c r="H59" s="14" t="s">
        <v>86</v>
      </c>
      <c r="I59" s="14" t="s">
        <v>48</v>
      </c>
      <c r="J59" s="18" t="s">
        <v>110</v>
      </c>
      <c r="K59" s="23">
        <v>3750</v>
      </c>
      <c r="L59" s="23">
        <f t="shared" si="0"/>
        <v>3937.5</v>
      </c>
      <c r="M59" s="24"/>
      <c r="N59" s="24"/>
      <c r="O59" s="24"/>
      <c r="P59" s="24"/>
      <c r="Q59" s="24"/>
      <c r="R59" s="24"/>
      <c r="S59" s="24"/>
      <c r="T59" s="24"/>
      <c r="U59" s="24"/>
      <c r="V59" s="24"/>
    </row>
    <row r="60" spans="4:22" x14ac:dyDescent="0.2">
      <c r="D60" s="14" t="s">
        <v>69</v>
      </c>
      <c r="E60" s="14" t="s">
        <v>120</v>
      </c>
      <c r="F60" s="14" t="s">
        <v>77</v>
      </c>
      <c r="G60" s="14" t="s">
        <v>86</v>
      </c>
      <c r="H60" s="14" t="s">
        <v>86</v>
      </c>
      <c r="I60" s="14" t="s">
        <v>49</v>
      </c>
      <c r="J60" s="18" t="s">
        <v>50</v>
      </c>
      <c r="K60" s="23">
        <v>7500</v>
      </c>
      <c r="L60" s="23">
        <f t="shared" si="0"/>
        <v>7875</v>
      </c>
      <c r="M60" s="24"/>
      <c r="N60" s="24"/>
      <c r="O60" s="24"/>
      <c r="P60" s="24"/>
      <c r="Q60" s="24"/>
      <c r="R60" s="24"/>
      <c r="S60" s="24"/>
      <c r="T60" s="24"/>
      <c r="U60" s="24"/>
      <c r="V60" s="24"/>
    </row>
    <row r="61" spans="4:22" x14ac:dyDescent="0.2">
      <c r="D61" s="14" t="s">
        <v>69</v>
      </c>
      <c r="E61" s="14" t="s">
        <v>120</v>
      </c>
      <c r="F61" s="14" t="s">
        <v>77</v>
      </c>
      <c r="G61" s="14" t="s">
        <v>86</v>
      </c>
      <c r="H61" s="14" t="s">
        <v>86</v>
      </c>
      <c r="I61" s="14" t="s">
        <v>22</v>
      </c>
      <c r="J61" s="18" t="s">
        <v>23</v>
      </c>
      <c r="K61" s="23">
        <v>13750</v>
      </c>
      <c r="L61" s="23">
        <f t="shared" si="0"/>
        <v>14437.5</v>
      </c>
      <c r="M61" s="24"/>
      <c r="N61" s="24"/>
      <c r="O61" s="24"/>
      <c r="P61" s="24"/>
      <c r="Q61" s="24"/>
      <c r="R61" s="24"/>
      <c r="S61" s="24"/>
      <c r="T61" s="24"/>
      <c r="U61" s="24"/>
      <c r="V61" s="24"/>
    </row>
    <row r="62" spans="4:22" x14ac:dyDescent="0.2">
      <c r="D62" s="14" t="s">
        <v>69</v>
      </c>
      <c r="E62" s="14" t="s">
        <v>120</v>
      </c>
      <c r="F62" s="14" t="s">
        <v>77</v>
      </c>
      <c r="G62" s="14" t="s">
        <v>86</v>
      </c>
      <c r="H62" s="14" t="s">
        <v>86</v>
      </c>
      <c r="I62" s="14" t="s">
        <v>51</v>
      </c>
      <c r="J62" s="18" t="s">
        <v>52</v>
      </c>
      <c r="K62" s="23">
        <v>609500</v>
      </c>
      <c r="L62" s="23">
        <v>800000</v>
      </c>
      <c r="M62" s="24"/>
      <c r="N62" s="24"/>
      <c r="O62" s="24"/>
      <c r="P62" s="24"/>
      <c r="Q62" s="24"/>
      <c r="R62" s="24"/>
      <c r="S62" s="24"/>
      <c r="T62" s="24"/>
      <c r="U62" s="24"/>
      <c r="V62" s="24"/>
    </row>
    <row r="63" spans="4:22" x14ac:dyDescent="0.2">
      <c r="D63" s="14" t="s">
        <v>69</v>
      </c>
      <c r="E63" s="14" t="s">
        <v>120</v>
      </c>
      <c r="F63" s="14" t="s">
        <v>77</v>
      </c>
      <c r="G63" s="14" t="s">
        <v>86</v>
      </c>
      <c r="H63" s="14" t="s">
        <v>86</v>
      </c>
      <c r="I63" s="14" t="s">
        <v>53</v>
      </c>
      <c r="J63" s="19" t="s">
        <v>54</v>
      </c>
      <c r="K63" s="23">
        <v>329411</v>
      </c>
      <c r="L63" s="23">
        <v>310000</v>
      </c>
      <c r="M63" s="24"/>
      <c r="N63" s="24"/>
      <c r="O63" s="24"/>
      <c r="P63" s="24"/>
      <c r="Q63" s="24"/>
      <c r="R63" s="24"/>
      <c r="S63" s="24"/>
      <c r="T63" s="24"/>
      <c r="U63" s="24"/>
      <c r="V63" s="24"/>
    </row>
    <row r="64" spans="4:22" x14ac:dyDescent="0.2">
      <c r="D64" s="14" t="s">
        <v>108</v>
      </c>
      <c r="E64" s="14" t="s">
        <v>120</v>
      </c>
      <c r="F64" s="14" t="s">
        <v>77</v>
      </c>
      <c r="G64" s="14" t="s">
        <v>86</v>
      </c>
      <c r="H64" s="14" t="s">
        <v>86</v>
      </c>
      <c r="I64" s="14" t="s">
        <v>42</v>
      </c>
      <c r="J64" s="18" t="s">
        <v>43</v>
      </c>
      <c r="K64" s="23">
        <v>50000</v>
      </c>
      <c r="L64" s="23">
        <f t="shared" si="0"/>
        <v>52500</v>
      </c>
      <c r="M64" s="24"/>
      <c r="N64" s="24"/>
      <c r="O64" s="24"/>
      <c r="P64" s="24"/>
      <c r="Q64" s="24"/>
      <c r="R64" s="24"/>
      <c r="S64" s="24"/>
      <c r="T64" s="24"/>
      <c r="U64" s="24"/>
      <c r="V64" s="24"/>
    </row>
    <row r="65" spans="4:22" x14ac:dyDescent="0.2">
      <c r="D65" s="14" t="s">
        <v>69</v>
      </c>
      <c r="E65" s="14" t="s">
        <v>120</v>
      </c>
      <c r="F65" s="14" t="s">
        <v>77</v>
      </c>
      <c r="G65" s="14" t="s">
        <v>86</v>
      </c>
      <c r="H65" s="14" t="s">
        <v>86</v>
      </c>
      <c r="I65" s="14" t="s">
        <v>55</v>
      </c>
      <c r="J65" s="18" t="s">
        <v>56</v>
      </c>
      <c r="K65" s="23">
        <v>3750</v>
      </c>
      <c r="L65" s="23">
        <f t="shared" si="0"/>
        <v>3937.5</v>
      </c>
      <c r="M65" s="24"/>
      <c r="N65" s="24"/>
      <c r="O65" s="24"/>
      <c r="P65" s="24"/>
      <c r="Q65" s="24"/>
      <c r="R65" s="24"/>
      <c r="S65" s="24"/>
      <c r="T65" s="24"/>
      <c r="U65" s="24"/>
      <c r="V65" s="24"/>
    </row>
    <row r="66" spans="4:22" x14ac:dyDescent="0.2">
      <c r="D66" s="14" t="s">
        <v>69</v>
      </c>
      <c r="E66" s="14" t="s">
        <v>120</v>
      </c>
      <c r="F66" s="14" t="s">
        <v>77</v>
      </c>
      <c r="G66" s="14" t="s">
        <v>86</v>
      </c>
      <c r="H66" s="14" t="s">
        <v>86</v>
      </c>
      <c r="I66" s="14" t="s">
        <v>34</v>
      </c>
      <c r="J66" s="18" t="s">
        <v>35</v>
      </c>
      <c r="K66" s="23">
        <v>55000</v>
      </c>
      <c r="L66" s="23">
        <f t="shared" si="0"/>
        <v>57750</v>
      </c>
      <c r="M66" s="24"/>
      <c r="N66" s="24"/>
      <c r="O66" s="24"/>
      <c r="P66" s="24"/>
      <c r="Q66" s="24"/>
      <c r="R66" s="24"/>
      <c r="S66" s="24"/>
      <c r="T66" s="24"/>
      <c r="U66" s="24"/>
      <c r="V66" s="24"/>
    </row>
    <row r="67" spans="4:22" x14ac:dyDescent="0.2">
      <c r="D67" s="14" t="s">
        <v>69</v>
      </c>
      <c r="E67" s="14" t="s">
        <v>120</v>
      </c>
      <c r="F67" s="14" t="s">
        <v>77</v>
      </c>
      <c r="G67" s="14" t="s">
        <v>86</v>
      </c>
      <c r="H67" s="14" t="s">
        <v>86</v>
      </c>
      <c r="I67" s="14" t="s">
        <v>57</v>
      </c>
      <c r="J67" s="18" t="s">
        <v>58</v>
      </c>
      <c r="K67" s="23">
        <v>7500</v>
      </c>
      <c r="L67" s="23">
        <f t="shared" si="0"/>
        <v>7875</v>
      </c>
      <c r="M67" s="24"/>
      <c r="N67" s="24"/>
      <c r="O67" s="24"/>
      <c r="P67" s="24"/>
      <c r="Q67" s="24"/>
      <c r="R67" s="24"/>
      <c r="S67" s="24"/>
      <c r="T67" s="24"/>
      <c r="U67" s="24"/>
      <c r="V67" s="24"/>
    </row>
    <row r="68" spans="4:22" x14ac:dyDescent="0.2">
      <c r="D68" s="14" t="s">
        <v>69</v>
      </c>
      <c r="E68" s="14" t="s">
        <v>120</v>
      </c>
      <c r="F68" s="14" t="s">
        <v>77</v>
      </c>
      <c r="G68" s="14" t="s">
        <v>86</v>
      </c>
      <c r="H68" s="14" t="s">
        <v>86</v>
      </c>
      <c r="I68" s="14" t="s">
        <v>59</v>
      </c>
      <c r="J68" s="18" t="s">
        <v>60</v>
      </c>
      <c r="K68" s="23">
        <v>48530</v>
      </c>
      <c r="L68" s="23">
        <f t="shared" si="0"/>
        <v>50956.5</v>
      </c>
      <c r="M68" s="24"/>
      <c r="N68" s="24"/>
      <c r="O68" s="24"/>
      <c r="P68" s="24"/>
      <c r="Q68" s="24"/>
      <c r="R68" s="24"/>
      <c r="S68" s="24"/>
      <c r="T68" s="24"/>
      <c r="U68" s="24"/>
      <c r="V68" s="24"/>
    </row>
    <row r="69" spans="4:22" x14ac:dyDescent="0.2">
      <c r="D69" s="14" t="s">
        <v>69</v>
      </c>
      <c r="E69" s="14" t="s">
        <v>120</v>
      </c>
      <c r="F69" s="14" t="s">
        <v>77</v>
      </c>
      <c r="G69" s="14" t="s">
        <v>86</v>
      </c>
      <c r="H69" s="14" t="s">
        <v>86</v>
      </c>
      <c r="I69" s="14" t="s">
        <v>26</v>
      </c>
      <c r="J69" s="18" t="s">
        <v>27</v>
      </c>
      <c r="K69" s="23">
        <v>11250</v>
      </c>
      <c r="L69" s="23">
        <f t="shared" si="0"/>
        <v>11812.5</v>
      </c>
      <c r="M69" s="24"/>
      <c r="N69" s="24"/>
      <c r="O69" s="24"/>
      <c r="P69" s="24"/>
      <c r="Q69" s="24"/>
      <c r="R69" s="24"/>
      <c r="S69" s="24"/>
      <c r="T69" s="24"/>
      <c r="U69" s="24"/>
      <c r="V69" s="24"/>
    </row>
    <row r="70" spans="4:22" x14ac:dyDescent="0.2">
      <c r="D70" s="14" t="s">
        <v>69</v>
      </c>
      <c r="E70" s="14" t="s">
        <v>120</v>
      </c>
      <c r="F70" s="14" t="s">
        <v>77</v>
      </c>
      <c r="G70" s="14" t="s">
        <v>87</v>
      </c>
      <c r="H70" s="14" t="s">
        <v>93</v>
      </c>
      <c r="I70" s="14" t="s">
        <v>42</v>
      </c>
      <c r="J70" s="18" t="s">
        <v>43</v>
      </c>
      <c r="K70" s="23">
        <v>62000</v>
      </c>
      <c r="L70" s="23">
        <f t="shared" si="0"/>
        <v>65100</v>
      </c>
      <c r="M70" s="55">
        <v>3</v>
      </c>
      <c r="N70" s="24"/>
      <c r="O70" s="24"/>
      <c r="P70" s="24"/>
      <c r="Q70" s="55">
        <v>2</v>
      </c>
      <c r="R70" s="55">
        <v>4</v>
      </c>
      <c r="S70" s="24"/>
      <c r="T70" s="24"/>
      <c r="U70" s="24"/>
      <c r="V70" s="55">
        <v>4</v>
      </c>
    </row>
    <row r="71" spans="4:22" x14ac:dyDescent="0.2">
      <c r="D71" s="14" t="s">
        <v>70</v>
      </c>
      <c r="E71" s="14" t="s">
        <v>118</v>
      </c>
      <c r="F71" s="14" t="s">
        <v>75</v>
      </c>
      <c r="G71" s="14" t="s">
        <v>88</v>
      </c>
      <c r="H71" s="14" t="s">
        <v>94</v>
      </c>
      <c r="I71" s="14" t="s">
        <v>61</v>
      </c>
      <c r="J71" s="18" t="s">
        <v>62</v>
      </c>
      <c r="K71" s="23">
        <v>3354</v>
      </c>
      <c r="L71" s="23">
        <f t="shared" si="0"/>
        <v>3521.7000000000003</v>
      </c>
      <c r="M71" s="46"/>
      <c r="N71" s="24"/>
      <c r="O71" s="24"/>
      <c r="P71" s="24"/>
      <c r="Q71" s="46"/>
      <c r="R71" s="46"/>
      <c r="S71" s="24"/>
      <c r="T71" s="24"/>
      <c r="U71" s="24"/>
      <c r="V71" s="46"/>
    </row>
    <row r="72" spans="4:22" x14ac:dyDescent="0.2">
      <c r="D72" s="14" t="s">
        <v>70</v>
      </c>
      <c r="E72" s="14" t="s">
        <v>118</v>
      </c>
      <c r="F72" s="14" t="s">
        <v>75</v>
      </c>
      <c r="G72" s="14" t="s">
        <v>88</v>
      </c>
      <c r="H72" s="14" t="s">
        <v>94</v>
      </c>
      <c r="I72" s="14" t="s">
        <v>30</v>
      </c>
      <c r="J72" s="18" t="s">
        <v>31</v>
      </c>
      <c r="K72" s="23">
        <v>4113</v>
      </c>
      <c r="L72" s="23">
        <f t="shared" si="0"/>
        <v>4318.6500000000005</v>
      </c>
      <c r="M72" s="46"/>
      <c r="N72" s="24"/>
      <c r="O72" s="24"/>
      <c r="P72" s="24"/>
      <c r="Q72" s="46"/>
      <c r="R72" s="46"/>
      <c r="S72" s="24"/>
      <c r="T72" s="24"/>
      <c r="U72" s="24"/>
      <c r="V72" s="46"/>
    </row>
    <row r="73" spans="4:22" x14ac:dyDescent="0.2">
      <c r="D73" s="14" t="s">
        <v>70</v>
      </c>
      <c r="E73" s="14" t="s">
        <v>118</v>
      </c>
      <c r="F73" s="14" t="s">
        <v>75</v>
      </c>
      <c r="G73" s="14" t="s">
        <v>88</v>
      </c>
      <c r="H73" s="14" t="s">
        <v>94</v>
      </c>
      <c r="I73" s="14" t="s">
        <v>32</v>
      </c>
      <c r="J73" s="18" t="s">
        <v>33</v>
      </c>
      <c r="K73" s="23">
        <v>670</v>
      </c>
      <c r="L73" s="23">
        <f t="shared" si="0"/>
        <v>703.5</v>
      </c>
      <c r="M73" s="47"/>
      <c r="N73" s="24"/>
      <c r="O73" s="24"/>
      <c r="P73" s="24"/>
      <c r="Q73" s="47"/>
      <c r="R73" s="47"/>
      <c r="S73" s="24"/>
      <c r="T73" s="24"/>
      <c r="U73" s="24"/>
      <c r="V73" s="47"/>
    </row>
    <row r="74" spans="4:22" x14ac:dyDescent="0.2">
      <c r="K74" s="26">
        <f>SUM(K12:K73)</f>
        <v>1429069</v>
      </c>
      <c r="L74" s="26">
        <f>SUM(L12:L73)</f>
        <v>1646150.3499999999</v>
      </c>
    </row>
  </sheetData>
  <autoFilter ref="D9:V74" xr:uid="{00000000-0001-0000-0100-000000000000}"/>
  <mergeCells count="62">
    <mergeCell ref="T35:T38"/>
    <mergeCell ref="U35:U38"/>
    <mergeCell ref="V35:V38"/>
    <mergeCell ref="M70:M73"/>
    <mergeCell ref="Q70:Q73"/>
    <mergeCell ref="R70:R73"/>
    <mergeCell ref="V70:V73"/>
    <mergeCell ref="O35:O38"/>
    <mergeCell ref="P35:P38"/>
    <mergeCell ref="Q35:Q38"/>
    <mergeCell ref="R35:R38"/>
    <mergeCell ref="S35:S38"/>
    <mergeCell ref="M43:M48"/>
    <mergeCell ref="N43:N48"/>
    <mergeCell ref="O43:O48"/>
    <mergeCell ref="P43:P48"/>
    <mergeCell ref="K10:L10"/>
    <mergeCell ref="I11:J11"/>
    <mergeCell ref="M10:Q10"/>
    <mergeCell ref="R10:V10"/>
    <mergeCell ref="M12:M18"/>
    <mergeCell ref="N12:N18"/>
    <mergeCell ref="O12:O18"/>
    <mergeCell ref="P12:P18"/>
    <mergeCell ref="Q12:Q18"/>
    <mergeCell ref="R12:R18"/>
    <mergeCell ref="S12:S18"/>
    <mergeCell ref="T12:T18"/>
    <mergeCell ref="U12:U18"/>
    <mergeCell ref="V12:V18"/>
    <mergeCell ref="M19:M25"/>
    <mergeCell ref="N19:N25"/>
    <mergeCell ref="O19:O25"/>
    <mergeCell ref="P19:P25"/>
    <mergeCell ref="Q19:Q25"/>
    <mergeCell ref="R19:R25"/>
    <mergeCell ref="S19:S25"/>
    <mergeCell ref="T19:T25"/>
    <mergeCell ref="U19:U25"/>
    <mergeCell ref="V19:V25"/>
    <mergeCell ref="M26:Q29"/>
    <mergeCell ref="R26:V29"/>
    <mergeCell ref="O30:O33"/>
    <mergeCell ref="T30:T33"/>
    <mergeCell ref="M39:M42"/>
    <mergeCell ref="N39:N42"/>
    <mergeCell ref="O39:O42"/>
    <mergeCell ref="P39:P42"/>
    <mergeCell ref="Q39:Q42"/>
    <mergeCell ref="R39:R42"/>
    <mergeCell ref="S39:S42"/>
    <mergeCell ref="T39:T42"/>
    <mergeCell ref="U39:U42"/>
    <mergeCell ref="V39:V42"/>
    <mergeCell ref="M35:M38"/>
    <mergeCell ref="N35:N38"/>
    <mergeCell ref="V43:V48"/>
    <mergeCell ref="Q43:Q48"/>
    <mergeCell ref="R43:R48"/>
    <mergeCell ref="S43:S48"/>
    <mergeCell ref="T43:T48"/>
    <mergeCell ref="U43:U48"/>
  </mergeCells>
  <phoneticPr fontId="1" type="noConversion"/>
  <pageMargins left="0.25" right="0.25" top="0.75" bottom="0.75" header="0.3" footer="0.3"/>
  <pageSetup paperSize="9" scale="60" orientation="landscape" r:id="rId1"/>
  <headerFooter alignWithMargins="0">
    <oddFooter>&amp;LProduzido por SIGDN, pelo utilizador 07179505 na máquina AM-PC-027 em 21-04-2017 10:04:46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E9EBC-41A6-425D-896E-B8DE1DF75629}">
  <dimension ref="A1:F10"/>
  <sheetViews>
    <sheetView workbookViewId="0">
      <selection activeCell="N10" sqref="N10"/>
    </sheetView>
  </sheetViews>
  <sheetFormatPr defaultRowHeight="13.2" x14ac:dyDescent="0.25"/>
  <cols>
    <col min="1" max="1" width="9.140625" style="25"/>
    <col min="2" max="2" width="19.85546875" style="25" customWidth="1"/>
    <col min="3" max="3" width="16.28515625" style="25" customWidth="1"/>
    <col min="4" max="4" width="21.85546875" style="25" customWidth="1"/>
    <col min="5" max="5" width="17" style="25" customWidth="1"/>
    <col min="6" max="6" width="22.140625" style="25" customWidth="1"/>
    <col min="7" max="254" width="9.140625" style="25"/>
    <col min="255" max="255" width="19.85546875" style="25" customWidth="1"/>
    <col min="256" max="256" width="16.28515625" style="25" customWidth="1"/>
    <col min="257" max="257" width="21.85546875" style="25" customWidth="1"/>
    <col min="258" max="258" width="17" style="25" customWidth="1"/>
    <col min="259" max="259" width="9.140625" style="25"/>
    <col min="260" max="260" width="15.7109375" style="25" customWidth="1"/>
    <col min="261" max="261" width="9.140625" style="25"/>
    <col min="262" max="262" width="17.140625" style="25" customWidth="1"/>
    <col min="263" max="510" width="9.140625" style="25"/>
    <col min="511" max="511" width="19.85546875" style="25" customWidth="1"/>
    <col min="512" max="512" width="16.28515625" style="25" customWidth="1"/>
    <col min="513" max="513" width="21.85546875" style="25" customWidth="1"/>
    <col min="514" max="514" width="17" style="25" customWidth="1"/>
    <col min="515" max="515" width="9.140625" style="25"/>
    <col min="516" max="516" width="15.7109375" style="25" customWidth="1"/>
    <col min="517" max="517" width="9.140625" style="25"/>
    <col min="518" max="518" width="17.140625" style="25" customWidth="1"/>
    <col min="519" max="766" width="9.140625" style="25"/>
    <col min="767" max="767" width="19.85546875" style="25" customWidth="1"/>
    <col min="768" max="768" width="16.28515625" style="25" customWidth="1"/>
    <col min="769" max="769" width="21.85546875" style="25" customWidth="1"/>
    <col min="770" max="770" width="17" style="25" customWidth="1"/>
    <col min="771" max="771" width="9.140625" style="25"/>
    <col min="772" max="772" width="15.7109375" style="25" customWidth="1"/>
    <col min="773" max="773" width="9.140625" style="25"/>
    <col min="774" max="774" width="17.140625" style="25" customWidth="1"/>
    <col min="775" max="1022" width="9.140625" style="25"/>
    <col min="1023" max="1023" width="19.85546875" style="25" customWidth="1"/>
    <col min="1024" max="1024" width="16.28515625" style="25" customWidth="1"/>
    <col min="1025" max="1025" width="21.85546875" style="25" customWidth="1"/>
    <col min="1026" max="1026" width="17" style="25" customWidth="1"/>
    <col min="1027" max="1027" width="9.140625" style="25"/>
    <col min="1028" max="1028" width="15.7109375" style="25" customWidth="1"/>
    <col min="1029" max="1029" width="9.140625" style="25"/>
    <col min="1030" max="1030" width="17.140625" style="25" customWidth="1"/>
    <col min="1031" max="1278" width="9.140625" style="25"/>
    <col min="1279" max="1279" width="19.85546875" style="25" customWidth="1"/>
    <col min="1280" max="1280" width="16.28515625" style="25" customWidth="1"/>
    <col min="1281" max="1281" width="21.85546875" style="25" customWidth="1"/>
    <col min="1282" max="1282" width="17" style="25" customWidth="1"/>
    <col min="1283" max="1283" width="9.140625" style="25"/>
    <col min="1284" max="1284" width="15.7109375" style="25" customWidth="1"/>
    <col min="1285" max="1285" width="9.140625" style="25"/>
    <col min="1286" max="1286" width="17.140625" style="25" customWidth="1"/>
    <col min="1287" max="1534" width="9.140625" style="25"/>
    <col min="1535" max="1535" width="19.85546875" style="25" customWidth="1"/>
    <col min="1536" max="1536" width="16.28515625" style="25" customWidth="1"/>
    <col min="1537" max="1537" width="21.85546875" style="25" customWidth="1"/>
    <col min="1538" max="1538" width="17" style="25" customWidth="1"/>
    <col min="1539" max="1539" width="9.140625" style="25"/>
    <col min="1540" max="1540" width="15.7109375" style="25" customWidth="1"/>
    <col min="1541" max="1541" width="9.140625" style="25"/>
    <col min="1542" max="1542" width="17.140625" style="25" customWidth="1"/>
    <col min="1543" max="1790" width="9.140625" style="25"/>
    <col min="1791" max="1791" width="19.85546875" style="25" customWidth="1"/>
    <col min="1792" max="1792" width="16.28515625" style="25" customWidth="1"/>
    <col min="1793" max="1793" width="21.85546875" style="25" customWidth="1"/>
    <col min="1794" max="1794" width="17" style="25" customWidth="1"/>
    <col min="1795" max="1795" width="9.140625" style="25"/>
    <col min="1796" max="1796" width="15.7109375" style="25" customWidth="1"/>
    <col min="1797" max="1797" width="9.140625" style="25"/>
    <col min="1798" max="1798" width="17.140625" style="25" customWidth="1"/>
    <col min="1799" max="2046" width="9.140625" style="25"/>
    <col min="2047" max="2047" width="19.85546875" style="25" customWidth="1"/>
    <col min="2048" max="2048" width="16.28515625" style="25" customWidth="1"/>
    <col min="2049" max="2049" width="21.85546875" style="25" customWidth="1"/>
    <col min="2050" max="2050" width="17" style="25" customWidth="1"/>
    <col min="2051" max="2051" width="9.140625" style="25"/>
    <col min="2052" max="2052" width="15.7109375" style="25" customWidth="1"/>
    <col min="2053" max="2053" width="9.140625" style="25"/>
    <col min="2054" max="2054" width="17.140625" style="25" customWidth="1"/>
    <col min="2055" max="2302" width="9.140625" style="25"/>
    <col min="2303" max="2303" width="19.85546875" style="25" customWidth="1"/>
    <col min="2304" max="2304" width="16.28515625" style="25" customWidth="1"/>
    <col min="2305" max="2305" width="21.85546875" style="25" customWidth="1"/>
    <col min="2306" max="2306" width="17" style="25" customWidth="1"/>
    <col min="2307" max="2307" width="9.140625" style="25"/>
    <col min="2308" max="2308" width="15.7109375" style="25" customWidth="1"/>
    <col min="2309" max="2309" width="9.140625" style="25"/>
    <col min="2310" max="2310" width="17.140625" style="25" customWidth="1"/>
    <col min="2311" max="2558" width="9.140625" style="25"/>
    <col min="2559" max="2559" width="19.85546875" style="25" customWidth="1"/>
    <col min="2560" max="2560" width="16.28515625" style="25" customWidth="1"/>
    <col min="2561" max="2561" width="21.85546875" style="25" customWidth="1"/>
    <col min="2562" max="2562" width="17" style="25" customWidth="1"/>
    <col min="2563" max="2563" width="9.140625" style="25"/>
    <col min="2564" max="2564" width="15.7109375" style="25" customWidth="1"/>
    <col min="2565" max="2565" width="9.140625" style="25"/>
    <col min="2566" max="2566" width="17.140625" style="25" customWidth="1"/>
    <col min="2567" max="2814" width="9.140625" style="25"/>
    <col min="2815" max="2815" width="19.85546875" style="25" customWidth="1"/>
    <col min="2816" max="2816" width="16.28515625" style="25" customWidth="1"/>
    <col min="2817" max="2817" width="21.85546875" style="25" customWidth="1"/>
    <col min="2818" max="2818" width="17" style="25" customWidth="1"/>
    <col min="2819" max="2819" width="9.140625" style="25"/>
    <col min="2820" max="2820" width="15.7109375" style="25" customWidth="1"/>
    <col min="2821" max="2821" width="9.140625" style="25"/>
    <col min="2822" max="2822" width="17.140625" style="25" customWidth="1"/>
    <col min="2823" max="3070" width="9.140625" style="25"/>
    <col min="3071" max="3071" width="19.85546875" style="25" customWidth="1"/>
    <col min="3072" max="3072" width="16.28515625" style="25" customWidth="1"/>
    <col min="3073" max="3073" width="21.85546875" style="25" customWidth="1"/>
    <col min="3074" max="3074" width="17" style="25" customWidth="1"/>
    <col min="3075" max="3075" width="9.140625" style="25"/>
    <col min="3076" max="3076" width="15.7109375" style="25" customWidth="1"/>
    <col min="3077" max="3077" width="9.140625" style="25"/>
    <col min="3078" max="3078" width="17.140625" style="25" customWidth="1"/>
    <col min="3079" max="3326" width="9.140625" style="25"/>
    <col min="3327" max="3327" width="19.85546875" style="25" customWidth="1"/>
    <col min="3328" max="3328" width="16.28515625" style="25" customWidth="1"/>
    <col min="3329" max="3329" width="21.85546875" style="25" customWidth="1"/>
    <col min="3330" max="3330" width="17" style="25" customWidth="1"/>
    <col min="3331" max="3331" width="9.140625" style="25"/>
    <col min="3332" max="3332" width="15.7109375" style="25" customWidth="1"/>
    <col min="3333" max="3333" width="9.140625" style="25"/>
    <col min="3334" max="3334" width="17.140625" style="25" customWidth="1"/>
    <col min="3335" max="3582" width="9.140625" style="25"/>
    <col min="3583" max="3583" width="19.85546875" style="25" customWidth="1"/>
    <col min="3584" max="3584" width="16.28515625" style="25" customWidth="1"/>
    <col min="3585" max="3585" width="21.85546875" style="25" customWidth="1"/>
    <col min="3586" max="3586" width="17" style="25" customWidth="1"/>
    <col min="3587" max="3587" width="9.140625" style="25"/>
    <col min="3588" max="3588" width="15.7109375" style="25" customWidth="1"/>
    <col min="3589" max="3589" width="9.140625" style="25"/>
    <col min="3590" max="3590" width="17.140625" style="25" customWidth="1"/>
    <col min="3591" max="3838" width="9.140625" style="25"/>
    <col min="3839" max="3839" width="19.85546875" style="25" customWidth="1"/>
    <col min="3840" max="3840" width="16.28515625" style="25" customWidth="1"/>
    <col min="3841" max="3841" width="21.85546875" style="25" customWidth="1"/>
    <col min="3842" max="3842" width="17" style="25" customWidth="1"/>
    <col min="3843" max="3843" width="9.140625" style="25"/>
    <col min="3844" max="3844" width="15.7109375" style="25" customWidth="1"/>
    <col min="3845" max="3845" width="9.140625" style="25"/>
    <col min="3846" max="3846" width="17.140625" style="25" customWidth="1"/>
    <col min="3847" max="4094" width="9.140625" style="25"/>
    <col min="4095" max="4095" width="19.85546875" style="25" customWidth="1"/>
    <col min="4096" max="4096" width="16.28515625" style="25" customWidth="1"/>
    <col min="4097" max="4097" width="21.85546875" style="25" customWidth="1"/>
    <col min="4098" max="4098" width="17" style="25" customWidth="1"/>
    <col min="4099" max="4099" width="9.140625" style="25"/>
    <col min="4100" max="4100" width="15.7109375" style="25" customWidth="1"/>
    <col min="4101" max="4101" width="9.140625" style="25"/>
    <col min="4102" max="4102" width="17.140625" style="25" customWidth="1"/>
    <col min="4103" max="4350" width="9.140625" style="25"/>
    <col min="4351" max="4351" width="19.85546875" style="25" customWidth="1"/>
    <col min="4352" max="4352" width="16.28515625" style="25" customWidth="1"/>
    <col min="4353" max="4353" width="21.85546875" style="25" customWidth="1"/>
    <col min="4354" max="4354" width="17" style="25" customWidth="1"/>
    <col min="4355" max="4355" width="9.140625" style="25"/>
    <col min="4356" max="4356" width="15.7109375" style="25" customWidth="1"/>
    <col min="4357" max="4357" width="9.140625" style="25"/>
    <col min="4358" max="4358" width="17.140625" style="25" customWidth="1"/>
    <col min="4359" max="4606" width="9.140625" style="25"/>
    <col min="4607" max="4607" width="19.85546875" style="25" customWidth="1"/>
    <col min="4608" max="4608" width="16.28515625" style="25" customWidth="1"/>
    <col min="4609" max="4609" width="21.85546875" style="25" customWidth="1"/>
    <col min="4610" max="4610" width="17" style="25" customWidth="1"/>
    <col min="4611" max="4611" width="9.140625" style="25"/>
    <col min="4612" max="4612" width="15.7109375" style="25" customWidth="1"/>
    <col min="4613" max="4613" width="9.140625" style="25"/>
    <col min="4614" max="4614" width="17.140625" style="25" customWidth="1"/>
    <col min="4615" max="4862" width="9.140625" style="25"/>
    <col min="4863" max="4863" width="19.85546875" style="25" customWidth="1"/>
    <col min="4864" max="4864" width="16.28515625" style="25" customWidth="1"/>
    <col min="4865" max="4865" width="21.85546875" style="25" customWidth="1"/>
    <col min="4866" max="4866" width="17" style="25" customWidth="1"/>
    <col min="4867" max="4867" width="9.140625" style="25"/>
    <col min="4868" max="4868" width="15.7109375" style="25" customWidth="1"/>
    <col min="4869" max="4869" width="9.140625" style="25"/>
    <col min="4870" max="4870" width="17.140625" style="25" customWidth="1"/>
    <col min="4871" max="5118" width="9.140625" style="25"/>
    <col min="5119" max="5119" width="19.85546875" style="25" customWidth="1"/>
    <col min="5120" max="5120" width="16.28515625" style="25" customWidth="1"/>
    <col min="5121" max="5121" width="21.85546875" style="25" customWidth="1"/>
    <col min="5122" max="5122" width="17" style="25" customWidth="1"/>
    <col min="5123" max="5123" width="9.140625" style="25"/>
    <col min="5124" max="5124" width="15.7109375" style="25" customWidth="1"/>
    <col min="5125" max="5125" width="9.140625" style="25"/>
    <col min="5126" max="5126" width="17.140625" style="25" customWidth="1"/>
    <col min="5127" max="5374" width="9.140625" style="25"/>
    <col min="5375" max="5375" width="19.85546875" style="25" customWidth="1"/>
    <col min="5376" max="5376" width="16.28515625" style="25" customWidth="1"/>
    <col min="5377" max="5377" width="21.85546875" style="25" customWidth="1"/>
    <col min="5378" max="5378" width="17" style="25" customWidth="1"/>
    <col min="5379" max="5379" width="9.140625" style="25"/>
    <col min="5380" max="5380" width="15.7109375" style="25" customWidth="1"/>
    <col min="5381" max="5381" width="9.140625" style="25"/>
    <col min="5382" max="5382" width="17.140625" style="25" customWidth="1"/>
    <col min="5383" max="5630" width="9.140625" style="25"/>
    <col min="5631" max="5631" width="19.85546875" style="25" customWidth="1"/>
    <col min="5632" max="5632" width="16.28515625" style="25" customWidth="1"/>
    <col min="5633" max="5633" width="21.85546875" style="25" customWidth="1"/>
    <col min="5634" max="5634" width="17" style="25" customWidth="1"/>
    <col min="5635" max="5635" width="9.140625" style="25"/>
    <col min="5636" max="5636" width="15.7109375" style="25" customWidth="1"/>
    <col min="5637" max="5637" width="9.140625" style="25"/>
    <col min="5638" max="5638" width="17.140625" style="25" customWidth="1"/>
    <col min="5639" max="5886" width="9.140625" style="25"/>
    <col min="5887" max="5887" width="19.85546875" style="25" customWidth="1"/>
    <col min="5888" max="5888" width="16.28515625" style="25" customWidth="1"/>
    <col min="5889" max="5889" width="21.85546875" style="25" customWidth="1"/>
    <col min="5890" max="5890" width="17" style="25" customWidth="1"/>
    <col min="5891" max="5891" width="9.140625" style="25"/>
    <col min="5892" max="5892" width="15.7109375" style="25" customWidth="1"/>
    <col min="5893" max="5893" width="9.140625" style="25"/>
    <col min="5894" max="5894" width="17.140625" style="25" customWidth="1"/>
    <col min="5895" max="6142" width="9.140625" style="25"/>
    <col min="6143" max="6143" width="19.85546875" style="25" customWidth="1"/>
    <col min="6144" max="6144" width="16.28515625" style="25" customWidth="1"/>
    <col min="6145" max="6145" width="21.85546875" style="25" customWidth="1"/>
    <col min="6146" max="6146" width="17" style="25" customWidth="1"/>
    <col min="6147" max="6147" width="9.140625" style="25"/>
    <col min="6148" max="6148" width="15.7109375" style="25" customWidth="1"/>
    <col min="6149" max="6149" width="9.140625" style="25"/>
    <col min="6150" max="6150" width="17.140625" style="25" customWidth="1"/>
    <col min="6151" max="6398" width="9.140625" style="25"/>
    <col min="6399" max="6399" width="19.85546875" style="25" customWidth="1"/>
    <col min="6400" max="6400" width="16.28515625" style="25" customWidth="1"/>
    <col min="6401" max="6401" width="21.85546875" style="25" customWidth="1"/>
    <col min="6402" max="6402" width="17" style="25" customWidth="1"/>
    <col min="6403" max="6403" width="9.140625" style="25"/>
    <col min="6404" max="6404" width="15.7109375" style="25" customWidth="1"/>
    <col min="6405" max="6405" width="9.140625" style="25"/>
    <col min="6406" max="6406" width="17.140625" style="25" customWidth="1"/>
    <col min="6407" max="6654" width="9.140625" style="25"/>
    <col min="6655" max="6655" width="19.85546875" style="25" customWidth="1"/>
    <col min="6656" max="6656" width="16.28515625" style="25" customWidth="1"/>
    <col min="6657" max="6657" width="21.85546875" style="25" customWidth="1"/>
    <col min="6658" max="6658" width="17" style="25" customWidth="1"/>
    <col min="6659" max="6659" width="9.140625" style="25"/>
    <col min="6660" max="6660" width="15.7109375" style="25" customWidth="1"/>
    <col min="6661" max="6661" width="9.140625" style="25"/>
    <col min="6662" max="6662" width="17.140625" style="25" customWidth="1"/>
    <col min="6663" max="6910" width="9.140625" style="25"/>
    <col min="6911" max="6911" width="19.85546875" style="25" customWidth="1"/>
    <col min="6912" max="6912" width="16.28515625" style="25" customWidth="1"/>
    <col min="6913" max="6913" width="21.85546875" style="25" customWidth="1"/>
    <col min="6914" max="6914" width="17" style="25" customWidth="1"/>
    <col min="6915" max="6915" width="9.140625" style="25"/>
    <col min="6916" max="6916" width="15.7109375" style="25" customWidth="1"/>
    <col min="6917" max="6917" width="9.140625" style="25"/>
    <col min="6918" max="6918" width="17.140625" style="25" customWidth="1"/>
    <col min="6919" max="7166" width="9.140625" style="25"/>
    <col min="7167" max="7167" width="19.85546875" style="25" customWidth="1"/>
    <col min="7168" max="7168" width="16.28515625" style="25" customWidth="1"/>
    <col min="7169" max="7169" width="21.85546875" style="25" customWidth="1"/>
    <col min="7170" max="7170" width="17" style="25" customWidth="1"/>
    <col min="7171" max="7171" width="9.140625" style="25"/>
    <col min="7172" max="7172" width="15.7109375" style="25" customWidth="1"/>
    <col min="7173" max="7173" width="9.140625" style="25"/>
    <col min="7174" max="7174" width="17.140625" style="25" customWidth="1"/>
    <col min="7175" max="7422" width="9.140625" style="25"/>
    <col min="7423" max="7423" width="19.85546875" style="25" customWidth="1"/>
    <col min="7424" max="7424" width="16.28515625" style="25" customWidth="1"/>
    <col min="7425" max="7425" width="21.85546875" style="25" customWidth="1"/>
    <col min="7426" max="7426" width="17" style="25" customWidth="1"/>
    <col min="7427" max="7427" width="9.140625" style="25"/>
    <col min="7428" max="7428" width="15.7109375" style="25" customWidth="1"/>
    <col min="7429" max="7429" width="9.140625" style="25"/>
    <col min="7430" max="7430" width="17.140625" style="25" customWidth="1"/>
    <col min="7431" max="7678" width="9.140625" style="25"/>
    <col min="7679" max="7679" width="19.85546875" style="25" customWidth="1"/>
    <col min="7680" max="7680" width="16.28515625" style="25" customWidth="1"/>
    <col min="7681" max="7681" width="21.85546875" style="25" customWidth="1"/>
    <col min="7682" max="7682" width="17" style="25" customWidth="1"/>
    <col min="7683" max="7683" width="9.140625" style="25"/>
    <col min="7684" max="7684" width="15.7109375" style="25" customWidth="1"/>
    <col min="7685" max="7685" width="9.140625" style="25"/>
    <col min="7686" max="7686" width="17.140625" style="25" customWidth="1"/>
    <col min="7687" max="7934" width="9.140625" style="25"/>
    <col min="7935" max="7935" width="19.85546875" style="25" customWidth="1"/>
    <col min="7936" max="7936" width="16.28515625" style="25" customWidth="1"/>
    <col min="7937" max="7937" width="21.85546875" style="25" customWidth="1"/>
    <col min="7938" max="7938" width="17" style="25" customWidth="1"/>
    <col min="7939" max="7939" width="9.140625" style="25"/>
    <col min="7940" max="7940" width="15.7109375" style="25" customWidth="1"/>
    <col min="7941" max="7941" width="9.140625" style="25"/>
    <col min="7942" max="7942" width="17.140625" style="25" customWidth="1"/>
    <col min="7943" max="8190" width="9.140625" style="25"/>
    <col min="8191" max="8191" width="19.85546875" style="25" customWidth="1"/>
    <col min="8192" max="8192" width="16.28515625" style="25" customWidth="1"/>
    <col min="8193" max="8193" width="21.85546875" style="25" customWidth="1"/>
    <col min="8194" max="8194" width="17" style="25" customWidth="1"/>
    <col min="8195" max="8195" width="9.140625" style="25"/>
    <col min="8196" max="8196" width="15.7109375" style="25" customWidth="1"/>
    <col min="8197" max="8197" width="9.140625" style="25"/>
    <col min="8198" max="8198" width="17.140625" style="25" customWidth="1"/>
    <col min="8199" max="8446" width="9.140625" style="25"/>
    <col min="8447" max="8447" width="19.85546875" style="25" customWidth="1"/>
    <col min="8448" max="8448" width="16.28515625" style="25" customWidth="1"/>
    <col min="8449" max="8449" width="21.85546875" style="25" customWidth="1"/>
    <col min="8450" max="8450" width="17" style="25" customWidth="1"/>
    <col min="8451" max="8451" width="9.140625" style="25"/>
    <col min="8452" max="8452" width="15.7109375" style="25" customWidth="1"/>
    <col min="8453" max="8453" width="9.140625" style="25"/>
    <col min="8454" max="8454" width="17.140625" style="25" customWidth="1"/>
    <col min="8455" max="8702" width="9.140625" style="25"/>
    <col min="8703" max="8703" width="19.85546875" style="25" customWidth="1"/>
    <col min="8704" max="8704" width="16.28515625" style="25" customWidth="1"/>
    <col min="8705" max="8705" width="21.85546875" style="25" customWidth="1"/>
    <col min="8706" max="8706" width="17" style="25" customWidth="1"/>
    <col min="8707" max="8707" width="9.140625" style="25"/>
    <col min="8708" max="8708" width="15.7109375" style="25" customWidth="1"/>
    <col min="8709" max="8709" width="9.140625" style="25"/>
    <col min="8710" max="8710" width="17.140625" style="25" customWidth="1"/>
    <col min="8711" max="8958" width="9.140625" style="25"/>
    <col min="8959" max="8959" width="19.85546875" style="25" customWidth="1"/>
    <col min="8960" max="8960" width="16.28515625" style="25" customWidth="1"/>
    <col min="8961" max="8961" width="21.85546875" style="25" customWidth="1"/>
    <col min="8962" max="8962" width="17" style="25" customWidth="1"/>
    <col min="8963" max="8963" width="9.140625" style="25"/>
    <col min="8964" max="8964" width="15.7109375" style="25" customWidth="1"/>
    <col min="8965" max="8965" width="9.140625" style="25"/>
    <col min="8966" max="8966" width="17.140625" style="25" customWidth="1"/>
    <col min="8967" max="9214" width="9.140625" style="25"/>
    <col min="9215" max="9215" width="19.85546875" style="25" customWidth="1"/>
    <col min="9216" max="9216" width="16.28515625" style="25" customWidth="1"/>
    <col min="9217" max="9217" width="21.85546875" style="25" customWidth="1"/>
    <col min="9218" max="9218" width="17" style="25" customWidth="1"/>
    <col min="9219" max="9219" width="9.140625" style="25"/>
    <col min="9220" max="9220" width="15.7109375" style="25" customWidth="1"/>
    <col min="9221" max="9221" width="9.140625" style="25"/>
    <col min="9222" max="9222" width="17.140625" style="25" customWidth="1"/>
    <col min="9223" max="9470" width="9.140625" style="25"/>
    <col min="9471" max="9471" width="19.85546875" style="25" customWidth="1"/>
    <col min="9472" max="9472" width="16.28515625" style="25" customWidth="1"/>
    <col min="9473" max="9473" width="21.85546875" style="25" customWidth="1"/>
    <col min="9474" max="9474" width="17" style="25" customWidth="1"/>
    <col min="9475" max="9475" width="9.140625" style="25"/>
    <col min="9476" max="9476" width="15.7109375" style="25" customWidth="1"/>
    <col min="9477" max="9477" width="9.140625" style="25"/>
    <col min="9478" max="9478" width="17.140625" style="25" customWidth="1"/>
    <col min="9479" max="9726" width="9.140625" style="25"/>
    <col min="9727" max="9727" width="19.85546875" style="25" customWidth="1"/>
    <col min="9728" max="9728" width="16.28515625" style="25" customWidth="1"/>
    <col min="9729" max="9729" width="21.85546875" style="25" customWidth="1"/>
    <col min="9730" max="9730" width="17" style="25" customWidth="1"/>
    <col min="9731" max="9731" width="9.140625" style="25"/>
    <col min="9732" max="9732" width="15.7109375" style="25" customWidth="1"/>
    <col min="9733" max="9733" width="9.140625" style="25"/>
    <col min="9734" max="9734" width="17.140625" style="25" customWidth="1"/>
    <col min="9735" max="9982" width="9.140625" style="25"/>
    <col min="9983" max="9983" width="19.85546875" style="25" customWidth="1"/>
    <col min="9984" max="9984" width="16.28515625" style="25" customWidth="1"/>
    <col min="9985" max="9985" width="21.85546875" style="25" customWidth="1"/>
    <col min="9986" max="9986" width="17" style="25" customWidth="1"/>
    <col min="9987" max="9987" width="9.140625" style="25"/>
    <col min="9988" max="9988" width="15.7109375" style="25" customWidth="1"/>
    <col min="9989" max="9989" width="9.140625" style="25"/>
    <col min="9990" max="9990" width="17.140625" style="25" customWidth="1"/>
    <col min="9991" max="10238" width="9.140625" style="25"/>
    <col min="10239" max="10239" width="19.85546875" style="25" customWidth="1"/>
    <col min="10240" max="10240" width="16.28515625" style="25" customWidth="1"/>
    <col min="10241" max="10241" width="21.85546875" style="25" customWidth="1"/>
    <col min="10242" max="10242" width="17" style="25" customWidth="1"/>
    <col min="10243" max="10243" width="9.140625" style="25"/>
    <col min="10244" max="10244" width="15.7109375" style="25" customWidth="1"/>
    <col min="10245" max="10245" width="9.140625" style="25"/>
    <col min="10246" max="10246" width="17.140625" style="25" customWidth="1"/>
    <col min="10247" max="10494" width="9.140625" style="25"/>
    <col min="10495" max="10495" width="19.85546875" style="25" customWidth="1"/>
    <col min="10496" max="10496" width="16.28515625" style="25" customWidth="1"/>
    <col min="10497" max="10497" width="21.85546875" style="25" customWidth="1"/>
    <col min="10498" max="10498" width="17" style="25" customWidth="1"/>
    <col min="10499" max="10499" width="9.140625" style="25"/>
    <col min="10500" max="10500" width="15.7109375" style="25" customWidth="1"/>
    <col min="10501" max="10501" width="9.140625" style="25"/>
    <col min="10502" max="10502" width="17.140625" style="25" customWidth="1"/>
    <col min="10503" max="10750" width="9.140625" style="25"/>
    <col min="10751" max="10751" width="19.85546875" style="25" customWidth="1"/>
    <col min="10752" max="10752" width="16.28515625" style="25" customWidth="1"/>
    <col min="10753" max="10753" width="21.85546875" style="25" customWidth="1"/>
    <col min="10754" max="10754" width="17" style="25" customWidth="1"/>
    <col min="10755" max="10755" width="9.140625" style="25"/>
    <col min="10756" max="10756" width="15.7109375" style="25" customWidth="1"/>
    <col min="10757" max="10757" width="9.140625" style="25"/>
    <col min="10758" max="10758" width="17.140625" style="25" customWidth="1"/>
    <col min="10759" max="11006" width="9.140625" style="25"/>
    <col min="11007" max="11007" width="19.85546875" style="25" customWidth="1"/>
    <col min="11008" max="11008" width="16.28515625" style="25" customWidth="1"/>
    <col min="11009" max="11009" width="21.85546875" style="25" customWidth="1"/>
    <col min="11010" max="11010" width="17" style="25" customWidth="1"/>
    <col min="11011" max="11011" width="9.140625" style="25"/>
    <col min="11012" max="11012" width="15.7109375" style="25" customWidth="1"/>
    <col min="11013" max="11013" width="9.140625" style="25"/>
    <col min="11014" max="11014" width="17.140625" style="25" customWidth="1"/>
    <col min="11015" max="11262" width="9.140625" style="25"/>
    <col min="11263" max="11263" width="19.85546875" style="25" customWidth="1"/>
    <col min="11264" max="11264" width="16.28515625" style="25" customWidth="1"/>
    <col min="11265" max="11265" width="21.85546875" style="25" customWidth="1"/>
    <col min="11266" max="11266" width="17" style="25" customWidth="1"/>
    <col min="11267" max="11267" width="9.140625" style="25"/>
    <col min="11268" max="11268" width="15.7109375" style="25" customWidth="1"/>
    <col min="11269" max="11269" width="9.140625" style="25"/>
    <col min="11270" max="11270" width="17.140625" style="25" customWidth="1"/>
    <col min="11271" max="11518" width="9.140625" style="25"/>
    <col min="11519" max="11519" width="19.85546875" style="25" customWidth="1"/>
    <col min="11520" max="11520" width="16.28515625" style="25" customWidth="1"/>
    <col min="11521" max="11521" width="21.85546875" style="25" customWidth="1"/>
    <col min="11522" max="11522" width="17" style="25" customWidth="1"/>
    <col min="11523" max="11523" width="9.140625" style="25"/>
    <col min="11524" max="11524" width="15.7109375" style="25" customWidth="1"/>
    <col min="11525" max="11525" width="9.140625" style="25"/>
    <col min="11526" max="11526" width="17.140625" style="25" customWidth="1"/>
    <col min="11527" max="11774" width="9.140625" style="25"/>
    <col min="11775" max="11775" width="19.85546875" style="25" customWidth="1"/>
    <col min="11776" max="11776" width="16.28515625" style="25" customWidth="1"/>
    <col min="11777" max="11777" width="21.85546875" style="25" customWidth="1"/>
    <col min="11778" max="11778" width="17" style="25" customWidth="1"/>
    <col min="11779" max="11779" width="9.140625" style="25"/>
    <col min="11780" max="11780" width="15.7109375" style="25" customWidth="1"/>
    <col min="11781" max="11781" width="9.140625" style="25"/>
    <col min="11782" max="11782" width="17.140625" style="25" customWidth="1"/>
    <col min="11783" max="12030" width="9.140625" style="25"/>
    <col min="12031" max="12031" width="19.85546875" style="25" customWidth="1"/>
    <col min="12032" max="12032" width="16.28515625" style="25" customWidth="1"/>
    <col min="12033" max="12033" width="21.85546875" style="25" customWidth="1"/>
    <col min="12034" max="12034" width="17" style="25" customWidth="1"/>
    <col min="12035" max="12035" width="9.140625" style="25"/>
    <col min="12036" max="12036" width="15.7109375" style="25" customWidth="1"/>
    <col min="12037" max="12037" width="9.140625" style="25"/>
    <col min="12038" max="12038" width="17.140625" style="25" customWidth="1"/>
    <col min="12039" max="12286" width="9.140625" style="25"/>
    <col min="12287" max="12287" width="19.85546875" style="25" customWidth="1"/>
    <col min="12288" max="12288" width="16.28515625" style="25" customWidth="1"/>
    <col min="12289" max="12289" width="21.85546875" style="25" customWidth="1"/>
    <col min="12290" max="12290" width="17" style="25" customWidth="1"/>
    <col min="12291" max="12291" width="9.140625" style="25"/>
    <col min="12292" max="12292" width="15.7109375" style="25" customWidth="1"/>
    <col min="12293" max="12293" width="9.140625" style="25"/>
    <col min="12294" max="12294" width="17.140625" style="25" customWidth="1"/>
    <col min="12295" max="12542" width="9.140625" style="25"/>
    <col min="12543" max="12543" width="19.85546875" style="25" customWidth="1"/>
    <col min="12544" max="12544" width="16.28515625" style="25" customWidth="1"/>
    <col min="12545" max="12545" width="21.85546875" style="25" customWidth="1"/>
    <col min="12546" max="12546" width="17" style="25" customWidth="1"/>
    <col min="12547" max="12547" width="9.140625" style="25"/>
    <col min="12548" max="12548" width="15.7109375" style="25" customWidth="1"/>
    <col min="12549" max="12549" width="9.140625" style="25"/>
    <col min="12550" max="12550" width="17.140625" style="25" customWidth="1"/>
    <col min="12551" max="12798" width="9.140625" style="25"/>
    <col min="12799" max="12799" width="19.85546875" style="25" customWidth="1"/>
    <col min="12800" max="12800" width="16.28515625" style="25" customWidth="1"/>
    <col min="12801" max="12801" width="21.85546875" style="25" customWidth="1"/>
    <col min="12802" max="12802" width="17" style="25" customWidth="1"/>
    <col min="12803" max="12803" width="9.140625" style="25"/>
    <col min="12804" max="12804" width="15.7109375" style="25" customWidth="1"/>
    <col min="12805" max="12805" width="9.140625" style="25"/>
    <col min="12806" max="12806" width="17.140625" style="25" customWidth="1"/>
    <col min="12807" max="13054" width="9.140625" style="25"/>
    <col min="13055" max="13055" width="19.85546875" style="25" customWidth="1"/>
    <col min="13056" max="13056" width="16.28515625" style="25" customWidth="1"/>
    <col min="13057" max="13057" width="21.85546875" style="25" customWidth="1"/>
    <col min="13058" max="13058" width="17" style="25" customWidth="1"/>
    <col min="13059" max="13059" width="9.140625" style="25"/>
    <col min="13060" max="13060" width="15.7109375" style="25" customWidth="1"/>
    <col min="13061" max="13061" width="9.140625" style="25"/>
    <col min="13062" max="13062" width="17.140625" style="25" customWidth="1"/>
    <col min="13063" max="13310" width="9.140625" style="25"/>
    <col min="13311" max="13311" width="19.85546875" style="25" customWidth="1"/>
    <col min="13312" max="13312" width="16.28515625" style="25" customWidth="1"/>
    <col min="13313" max="13313" width="21.85546875" style="25" customWidth="1"/>
    <col min="13314" max="13314" width="17" style="25" customWidth="1"/>
    <col min="13315" max="13315" width="9.140625" style="25"/>
    <col min="13316" max="13316" width="15.7109375" style="25" customWidth="1"/>
    <col min="13317" max="13317" width="9.140625" style="25"/>
    <col min="13318" max="13318" width="17.140625" style="25" customWidth="1"/>
    <col min="13319" max="13566" width="9.140625" style="25"/>
    <col min="13567" max="13567" width="19.85546875" style="25" customWidth="1"/>
    <col min="13568" max="13568" width="16.28515625" style="25" customWidth="1"/>
    <col min="13569" max="13569" width="21.85546875" style="25" customWidth="1"/>
    <col min="13570" max="13570" width="17" style="25" customWidth="1"/>
    <col min="13571" max="13571" width="9.140625" style="25"/>
    <col min="13572" max="13572" width="15.7109375" style="25" customWidth="1"/>
    <col min="13573" max="13573" width="9.140625" style="25"/>
    <col min="13574" max="13574" width="17.140625" style="25" customWidth="1"/>
    <col min="13575" max="13822" width="9.140625" style="25"/>
    <col min="13823" max="13823" width="19.85546875" style="25" customWidth="1"/>
    <col min="13824" max="13824" width="16.28515625" style="25" customWidth="1"/>
    <col min="13825" max="13825" width="21.85546875" style="25" customWidth="1"/>
    <col min="13826" max="13826" width="17" style="25" customWidth="1"/>
    <col min="13827" max="13827" width="9.140625" style="25"/>
    <col min="13828" max="13828" width="15.7109375" style="25" customWidth="1"/>
    <col min="13829" max="13829" width="9.140625" style="25"/>
    <col min="13830" max="13830" width="17.140625" style="25" customWidth="1"/>
    <col min="13831" max="14078" width="9.140625" style="25"/>
    <col min="14079" max="14079" width="19.85546875" style="25" customWidth="1"/>
    <col min="14080" max="14080" width="16.28515625" style="25" customWidth="1"/>
    <col min="14081" max="14081" width="21.85546875" style="25" customWidth="1"/>
    <col min="14082" max="14082" width="17" style="25" customWidth="1"/>
    <col min="14083" max="14083" width="9.140625" style="25"/>
    <col min="14084" max="14084" width="15.7109375" style="25" customWidth="1"/>
    <col min="14085" max="14085" width="9.140625" style="25"/>
    <col min="14086" max="14086" width="17.140625" style="25" customWidth="1"/>
    <col min="14087" max="14334" width="9.140625" style="25"/>
    <col min="14335" max="14335" width="19.85546875" style="25" customWidth="1"/>
    <col min="14336" max="14336" width="16.28515625" style="25" customWidth="1"/>
    <col min="14337" max="14337" width="21.85546875" style="25" customWidth="1"/>
    <col min="14338" max="14338" width="17" style="25" customWidth="1"/>
    <col min="14339" max="14339" width="9.140625" style="25"/>
    <col min="14340" max="14340" width="15.7109375" style="25" customWidth="1"/>
    <col min="14341" max="14341" width="9.140625" style="25"/>
    <col min="14342" max="14342" width="17.140625" style="25" customWidth="1"/>
    <col min="14343" max="14590" width="9.140625" style="25"/>
    <col min="14591" max="14591" width="19.85546875" style="25" customWidth="1"/>
    <col min="14592" max="14592" width="16.28515625" style="25" customWidth="1"/>
    <col min="14593" max="14593" width="21.85546875" style="25" customWidth="1"/>
    <col min="14594" max="14594" width="17" style="25" customWidth="1"/>
    <col min="14595" max="14595" width="9.140625" style="25"/>
    <col min="14596" max="14596" width="15.7109375" style="25" customWidth="1"/>
    <col min="14597" max="14597" width="9.140625" style="25"/>
    <col min="14598" max="14598" width="17.140625" style="25" customWidth="1"/>
    <col min="14599" max="14846" width="9.140625" style="25"/>
    <col min="14847" max="14847" width="19.85546875" style="25" customWidth="1"/>
    <col min="14848" max="14848" width="16.28515625" style="25" customWidth="1"/>
    <col min="14849" max="14849" width="21.85546875" style="25" customWidth="1"/>
    <col min="14850" max="14850" width="17" style="25" customWidth="1"/>
    <col min="14851" max="14851" width="9.140625" style="25"/>
    <col min="14852" max="14852" width="15.7109375" style="25" customWidth="1"/>
    <col min="14853" max="14853" width="9.140625" style="25"/>
    <col min="14854" max="14854" width="17.140625" style="25" customWidth="1"/>
    <col min="14855" max="15102" width="9.140625" style="25"/>
    <col min="15103" max="15103" width="19.85546875" style="25" customWidth="1"/>
    <col min="15104" max="15104" width="16.28515625" style="25" customWidth="1"/>
    <col min="15105" max="15105" width="21.85546875" style="25" customWidth="1"/>
    <col min="15106" max="15106" width="17" style="25" customWidth="1"/>
    <col min="15107" max="15107" width="9.140625" style="25"/>
    <col min="15108" max="15108" width="15.7109375" style="25" customWidth="1"/>
    <col min="15109" max="15109" width="9.140625" style="25"/>
    <col min="15110" max="15110" width="17.140625" style="25" customWidth="1"/>
    <col min="15111" max="15358" width="9.140625" style="25"/>
    <col min="15359" max="15359" width="19.85546875" style="25" customWidth="1"/>
    <col min="15360" max="15360" width="16.28515625" style="25" customWidth="1"/>
    <col min="15361" max="15361" width="21.85546875" style="25" customWidth="1"/>
    <col min="15362" max="15362" width="17" style="25" customWidth="1"/>
    <col min="15363" max="15363" width="9.140625" style="25"/>
    <col min="15364" max="15364" width="15.7109375" style="25" customWidth="1"/>
    <col min="15365" max="15365" width="9.140625" style="25"/>
    <col min="15366" max="15366" width="17.140625" style="25" customWidth="1"/>
    <col min="15367" max="15614" width="9.140625" style="25"/>
    <col min="15615" max="15615" width="19.85546875" style="25" customWidth="1"/>
    <col min="15616" max="15616" width="16.28515625" style="25" customWidth="1"/>
    <col min="15617" max="15617" width="21.85546875" style="25" customWidth="1"/>
    <col min="15618" max="15618" width="17" style="25" customWidth="1"/>
    <col min="15619" max="15619" width="9.140625" style="25"/>
    <col min="15620" max="15620" width="15.7109375" style="25" customWidth="1"/>
    <col min="15621" max="15621" width="9.140625" style="25"/>
    <col min="15622" max="15622" width="17.140625" style="25" customWidth="1"/>
    <col min="15623" max="15870" width="9.140625" style="25"/>
    <col min="15871" max="15871" width="19.85546875" style="25" customWidth="1"/>
    <col min="15872" max="15872" width="16.28515625" style="25" customWidth="1"/>
    <col min="15873" max="15873" width="21.85546875" style="25" customWidth="1"/>
    <col min="15874" max="15874" width="17" style="25" customWidth="1"/>
    <col min="15875" max="15875" width="9.140625" style="25"/>
    <col min="15876" max="15876" width="15.7109375" style="25" customWidth="1"/>
    <col min="15877" max="15877" width="9.140625" style="25"/>
    <col min="15878" max="15878" width="17.140625" style="25" customWidth="1"/>
    <col min="15879" max="16126" width="9.140625" style="25"/>
    <col min="16127" max="16127" width="19.85546875" style="25" customWidth="1"/>
    <col min="16128" max="16128" width="16.28515625" style="25" customWidth="1"/>
    <col min="16129" max="16129" width="21.85546875" style="25" customWidth="1"/>
    <col min="16130" max="16130" width="17" style="25" customWidth="1"/>
    <col min="16131" max="16131" width="9.140625" style="25"/>
    <col min="16132" max="16132" width="15.7109375" style="25" customWidth="1"/>
    <col min="16133" max="16133" width="9.140625" style="25"/>
    <col min="16134" max="16134" width="17.140625" style="25" customWidth="1"/>
    <col min="16135" max="16384" width="9.140625" style="25"/>
  </cols>
  <sheetData>
    <row r="1" spans="1:6" ht="52.8" x14ac:dyDescent="0.25">
      <c r="A1" s="67" t="s">
        <v>112</v>
      </c>
      <c r="B1" s="67" t="s">
        <v>113</v>
      </c>
      <c r="C1" s="67" t="s">
        <v>114</v>
      </c>
      <c r="D1" s="67" t="s">
        <v>115</v>
      </c>
      <c r="E1" s="67" t="s">
        <v>116</v>
      </c>
      <c r="F1" s="31" t="s">
        <v>128</v>
      </c>
    </row>
    <row r="2" spans="1:6" x14ac:dyDescent="0.25">
      <c r="A2" s="67"/>
      <c r="B2" s="67"/>
      <c r="C2" s="67"/>
      <c r="D2" s="67"/>
      <c r="E2" s="67"/>
      <c r="F2" s="32" t="s">
        <v>129</v>
      </c>
    </row>
    <row r="3" spans="1:6" x14ac:dyDescent="0.25">
      <c r="A3" s="56">
        <v>2022</v>
      </c>
      <c r="B3" s="64">
        <f>Mapa!K74</f>
        <v>1429069</v>
      </c>
      <c r="C3" s="29" t="s">
        <v>117</v>
      </c>
      <c r="D3" s="30">
        <f>Mapa!K26+Mapa!K27+Mapa!K28+Mapa!K29+Mapa!K30+Mapa!K31+Mapa!K32+Mapa!K33+Mapa!K34+Mapa!K35+Mapa!K36+Mapa!K37+Mapa!K38+Mapa!K39+Mapa!K40+Mapa!K41+Mapa!K42+Mapa!K43+Mapa!K44+Mapa!K45+Mapa!K46+Mapa!K47+Mapa!K48+Mapa!K49+Mapa!K50+Mapa!K51</f>
        <v>108400</v>
      </c>
      <c r="E3" s="59" t="s">
        <v>127</v>
      </c>
      <c r="F3" s="27">
        <v>4.0999999999999996</v>
      </c>
    </row>
    <row r="4" spans="1:6" x14ac:dyDescent="0.25">
      <c r="A4" s="57"/>
      <c r="B4" s="65"/>
      <c r="C4" s="29" t="s">
        <v>118</v>
      </c>
      <c r="D4" s="30">
        <f>Mapa!K55+Mapa!K71+Mapa!K72+Mapa!K73</f>
        <v>10637</v>
      </c>
      <c r="E4" s="60"/>
      <c r="F4" s="27">
        <v>3.8</v>
      </c>
    </row>
    <row r="5" spans="1:6" x14ac:dyDescent="0.25">
      <c r="A5" s="57"/>
      <c r="B5" s="65"/>
      <c r="C5" s="29" t="s">
        <v>119</v>
      </c>
      <c r="D5" s="30">
        <f>Mapa!K12+Mapa!K13+Mapa!K14+Mapa!K15+Mapa!K16+Mapa!K17+Mapa!K18+Mapa!K19+Mapa!K20+Mapa!K21+Mapa!K22+Mapa!K23+Mapa!K24+Mapa!K25+Mapa!K52+Mapa!K53+Mapa!K54</f>
        <v>62591</v>
      </c>
      <c r="E5" s="60"/>
      <c r="F5" s="27">
        <v>4.0999999999999996</v>
      </c>
    </row>
    <row r="6" spans="1:6" x14ac:dyDescent="0.25">
      <c r="A6" s="58"/>
      <c r="B6" s="66"/>
      <c r="C6" s="29" t="s">
        <v>120</v>
      </c>
      <c r="D6" s="30">
        <f>B3-D3-D4-D5</f>
        <v>1247441</v>
      </c>
      <c r="E6" s="61"/>
      <c r="F6" s="27">
        <v>3.8</v>
      </c>
    </row>
    <row r="7" spans="1:6" x14ac:dyDescent="0.25">
      <c r="A7" s="62">
        <v>2023</v>
      </c>
      <c r="B7" s="64">
        <f>Mapa!L74</f>
        <v>1646150.3499999999</v>
      </c>
      <c r="C7" s="29" t="s">
        <v>117</v>
      </c>
      <c r="D7" s="30">
        <f>Mapa!L26+Mapa!L27+Mapa!L28+Mapa!L29+Mapa!L30+Mapa!L31+Mapa!L32+Mapa!L33+Mapa!L34+Mapa!L35+Mapa!L36+Mapa!L37+Mapa!L38+Mapa!L39+Mapa!L40+Mapa!L41+Mapa!L42+Mapa!L43+Mapa!L44+Mapa!L45+Mapa!L46+Mapa!L47+Mapa!L48+Mapa!L49+Mapa!L50+Mapa!L51</f>
        <v>133700</v>
      </c>
      <c r="E7" s="63" t="s">
        <v>121</v>
      </c>
      <c r="F7" s="27">
        <v>4.0999999999999996</v>
      </c>
    </row>
    <row r="8" spans="1:6" x14ac:dyDescent="0.25">
      <c r="A8" s="62"/>
      <c r="B8" s="65"/>
      <c r="C8" s="29" t="s">
        <v>118</v>
      </c>
      <c r="D8" s="30">
        <f>Mapa!L55+Mapa!L71+Mapa!L72+Mapa!L73</f>
        <v>12043.850000000002</v>
      </c>
      <c r="E8" s="63"/>
      <c r="F8" s="27">
        <v>4.0999999999999996</v>
      </c>
    </row>
    <row r="9" spans="1:6" x14ac:dyDescent="0.25">
      <c r="A9" s="62"/>
      <c r="B9" s="65"/>
      <c r="C9" s="29" t="s">
        <v>119</v>
      </c>
      <c r="D9" s="30">
        <f>Mapa!L12+Mapa!L13+Mapa!L14+Mapa!L15+Mapa!L16+Mapa!L17+Mapa!L18+Mapa!L19+Mapa!L20+Mapa!L21+Mapa!L22+Mapa!L23+Mapa!L24+Mapa!L25+Mapa!L52+Mapa!L53+Mapa!L54</f>
        <v>66850</v>
      </c>
      <c r="E9" s="63"/>
      <c r="F9" s="27">
        <v>4.4000000000000004</v>
      </c>
    </row>
    <row r="10" spans="1:6" x14ac:dyDescent="0.25">
      <c r="A10" s="62"/>
      <c r="B10" s="66"/>
      <c r="C10" s="29" t="s">
        <v>120</v>
      </c>
      <c r="D10" s="30">
        <f>B7-D7-D8-D9</f>
        <v>1433556.4999999998</v>
      </c>
      <c r="E10" s="63"/>
      <c r="F10" s="27">
        <v>3.8</v>
      </c>
    </row>
  </sheetData>
  <mergeCells count="11">
    <mergeCell ref="A1:A2"/>
    <mergeCell ref="B1:B2"/>
    <mergeCell ref="C1:C2"/>
    <mergeCell ref="D1:D2"/>
    <mergeCell ref="E1:E2"/>
    <mergeCell ref="A3:A6"/>
    <mergeCell ref="E3:E6"/>
    <mergeCell ref="A7:A10"/>
    <mergeCell ref="E7:E10"/>
    <mergeCell ref="B3:B6"/>
    <mergeCell ref="B7:B10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B4494B-A541-4AEC-ADB3-7881A135557C}">
  <ds:schemaRefs>
    <ds:schemaRef ds:uri="http://www.sap.com/ip/bi/bexanalyzer/excel/application"/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Mapa</vt:lpstr>
      <vt:lpstr>Outros</vt:lpstr>
      <vt:lpstr>DF_GRID_1</vt:lpstr>
      <vt:lpstr>Mapa!Print_Area</vt:lpstr>
    </vt:vector>
  </TitlesOfParts>
  <Company>SAP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5.1.1.1.8 - Análise da Fotografia Inicial</dc:title>
  <dc:creator>I027330</dc:creator>
  <cp:lastModifiedBy>Paulo Gomes</cp:lastModifiedBy>
  <cp:lastPrinted>2024-03-05T15:16:20Z</cp:lastPrinted>
  <dcterms:created xsi:type="dcterms:W3CDTF">2006-05-18T10:01:57Z</dcterms:created>
  <dcterms:modified xsi:type="dcterms:W3CDTF">2026-05-12T11:10:46Z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ExAnalyzer_OldName">
    <vt:lpwstr>5.1.1.1.6 - Plan. dos OBJ, ACT, ACC e EAC(IIPUE1SB4M563QYXS27081GC8).xlsm</vt:lpwstr>
  </property>
  <property fmtid="{D5CDD505-2E9C-101B-9397-08002B2CF9AE}" pid="3" name="_NewReviewCycle">
    <vt:lpwstr/>
  </property>
  <property fmtid="{D5CDD505-2E9C-101B-9397-08002B2CF9AE}" pid="4" name="BExAnalyzer_Activesheet">
    <vt:lpwstr>Mapa</vt:lpwstr>
  </property>
</Properties>
</file>